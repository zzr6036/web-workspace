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c1e4bb25e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me Pricing" sheetId="1" r:id="R22c6605b6f80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"/>
    <x:numFmt numFmtId="202" formatCode="&quot;$&quot;#,##0.0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B5563"/>
      <x:name val="Carlito"/>
    </x:font>
    <x:font>
      <x:b/>
      <x:sz val="10"/>
      <x:color rgb="FFFFFFFF"/>
      <x:name val="Carlito"/>
    </x:font>
    <x:font>
      <x:sz val="10"/>
      <x:color rgb="FF20243A"/>
      <x:name val="Carlito"/>
    </x:font>
    <x:font>
      <x:b/>
      <x:sz val="10"/>
      <x:color rgb="FF7A4E00"/>
      <x:name val="Carlito"/>
    </x:font>
    <x:font>
      <x:b/>
      <x:sz val="10"/>
      <x:color rgb="FF5B21B6"/>
      <x:name val="Carlito"/>
    </x:font>
    <x:font>
      <x:sz val="10"/>
      <x:color rgb="FF334155"/>
      <x:name val="Carlito"/>
    </x:font>
    <x:font>
      <x:i/>
      <x:sz val="9"/>
      <x:color rgb="FF64748B"/>
      <x:name val="Carlito"/>
    </x:font>
    <x:font>
      <x:b/>
      <x:sz val="10"/>
      <x:color rgb="FF1F2340"/>
      <x:name val="Carlito"/>
    </x:font>
    <x:font>
      <x:b/>
      <x:sz val="11"/>
      <x:color rgb="FF1F2340"/>
      <x:name val="Carlito"/>
    </x:font>
    <x:font>
      <x:i/>
      <x:sz val="11"/>
      <x:color rgb="FF6B728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2340"/>
      </x:patternFill>
    </x:fill>
    <x:fill>
      <x:patternFill patternType="solid">
        <x:fgColor rgb="FFF3F1FF"/>
      </x:patternFill>
    </x:fill>
    <x:fill>
      <x:patternFill patternType="solid">
        <x:fgColor rgb="FF6750E8"/>
      </x:patternFill>
    </x:fill>
    <x:fill>
      <x:patternFill patternType="solid">
        <x:fgColor rgb="FFFFF2CC"/>
      </x:patternFill>
    </x:fill>
    <x:fill>
      <x:patternFill patternType="solid">
        <x:fgColor rgb="FFEDE9FE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  <x:fill>
      <x:patternFill patternType="solid">
        <x:fgColor rgb="FFE9DD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0" fontId="5" fillId="8" borderId="0" xfId="0" applyNumberFormat="1" applyFont="1" applyFill="1" applyBorder="1" applyAlignment="1">
      <x:alignment horizontal="right" vertical="center"/>
    </x:xf>
    <x:xf numFmtId="202" fontId="5" fillId="8" borderId="0" xfId="0" applyNumberFormat="1" applyFont="1" applyFill="1" applyBorder="1" applyAlignment="1">
      <x:alignment horizontal="right" vertical="center"/>
    </x:xf>
    <x:xf numFmtId="202" fontId="5" fillId="5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/>
    <x:xf numFmtId="0" fontId="1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ea5359bfd4aee" /><Relationship Type="http://schemas.openxmlformats.org/officeDocument/2006/relationships/theme" Target="/xl/theme/theme1.xml" Id="R6f0e7ec0757146eb" /><Relationship Type="http://schemas.openxmlformats.org/officeDocument/2006/relationships/sharedStrings" Target="/xl/sharedStrings.xml" Id="R7415e1e0566e468b" /><Relationship Type="http://schemas.openxmlformats.org/officeDocument/2006/relationships/worksheet" Target="/xl/worksheets/sheet1.xml" Id="R22c6605b6f8041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0" hidden="0" customWidth="1"/>
    <x:col min="9" max="9" width="20" hidden="0" customWidth="1"/>
    <x:col min="10" max="10" width="24" hidden="0" customWidth="1"/>
    <x:col min="11" max="11" width="3" hidden="0" customWidth="1"/>
    <x:col min="12" max="12" width="19" hidden="0" customWidth="1"/>
    <x:col min="13" max="13" width="12" hidden="0" customWidth="1"/>
    <x:col min="14" max="14" width="28" hidden="0" customWidth="1"/>
    <x:col min="15" max="15" width="16" hidden="0" customWidth="1"/>
  </x:cols>
  <x:sheetData>
    <x:row r="1" ht="34" customHeight="1">
      <x:c r="A1" s="4" t="str">
        <x:v>Moment Booth · Photo Frame Package Pricing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8" t="str">
        <x:v>Fill in the yellow cells for each material. Prices are in SGD; keep the original price and new package price side by side for comparison.</x:v>
      </x:c>
      <x:c r="B2" s="8"/>
      <x:c r="C2" s="8"/>
      <x:c r="D2" s="8"/>
      <x:c r="E2" s="8"/>
      <x:c r="F2" s="8"/>
      <x:c r="G2" s="8"/>
      <x:c r="H2" s="8" t="str">
        <x:v>Fill in the yellow Unit Price cells. Original package prices calculate automatically from total frames × unit price; update New Package Price separately.</x:v>
      </x:c>
      <x:c r="I2" s="8"/>
      <x:c r="J2" s="8"/>
    </x:row>
    <x:row r="4" ht="30" customHeight="1">
      <x:c r="A4" s="13" t="str">
        <x:v>Package</x:v>
      </x:c>
      <x:c r="B4" s="13" t="str">
        <x:v>Popularity</x:v>
      </x:c>
      <x:c r="C4" s="13" t="str">
        <x:v>8" Qty</x:v>
      </x:c>
      <x:c r="D4" s="13" t="str">
        <x:v>10" Qty</x:v>
      </x:c>
      <x:c r="E4" s="13" t="str">
        <x:v>12" Qty</x:v>
      </x:c>
      <x:c r="F4" s="13" t="str">
        <x:v>Total Frames</x:v>
      </x:c>
      <x:c r="G4" s="13" t="str">
        <x:v>Material</x:v>
      </x:c>
      <x:c r="H4" s="44" t="str">
        <x:v>Unit Price (SGD)</x:v>
      </x:c>
      <x:c r="I4" s="44" t="str">
        <x:v>Original Price (SGD)</x:v>
      </x:c>
      <x:c r="J4" s="44" t="str">
        <x:v>New Package Price (SGD)</x:v>
      </x:c>
      <x:c r="K4" s="45" t="str">
        <x:v>Notes</x:v>
      </x:c>
      <x:c r="L4" s="28" t="str">
        <x:v>Package guide</x:v>
      </x:c>
      <x:c r="M4" s="28" t="str">
        <x:v>Total frames</x:v>
      </x:c>
      <x:c r="N4" s="28" t="str">
        <x:v>Size breakdown</x:v>
      </x:c>
      <x:c r="O4" s="28" t="str">
        <x:v>Positioning</x:v>
      </x:c>
    </x:row>
    <x:row r="5" ht="24" customHeight="1">
      <x:c r="A5" s="15" t="str">
        <x:v>6-piece package</x:v>
      </x:c>
      <x:c r="B5" s="15" t="str">
        <x:v>Standard</x:v>
      </x:c>
      <x:c r="C5" s="21" t="n">
        <x:v>2</x:v>
      </x:c>
      <x:c r="D5" s="21" t="n">
        <x:v>2</x:v>
      </x:c>
      <x:c r="E5" s="21" t="n">
        <x:v>2</x:v>
      </x:c>
      <x:c r="F5" s="21" t="n">
        <x:v>6</x:v>
      </x:c>
      <x:c r="G5" s="15" t="str">
        <x:v>Frameless Rounded Corner</x:v>
      </x:c>
      <x:c r="H5" s="39"/>
      <x:c r="I5" s="40" t="str">
        <x:f>IF(H5="","",F5*H5)</x:f>
      </x:c>
      <x:c r="J5" s="41" t="n">
        <x:v>100</x:v>
      </x:c>
      <x:c r="K5" s="46" t="str">
        <x:v>Enter the per-frame unit price in column H.</x:v>
      </x:c>
      <x:c r="L5" s="32" t="str">
        <x:v>6-piece package</x:v>
      </x:c>
      <x:c r="M5" s="32" t="n">
        <x:v>6</x:v>
      </x:c>
      <x:c r="N5" s="32" t="str">
        <x:v>2 × 8", 2 × 10", 2 × 12"</x:v>
      </x:c>
      <x:c r="O5" s="32" t="str">
        <x:v>Standard</x:v>
      </x:c>
    </x:row>
    <x:row r="6" ht="24" customHeight="1">
      <x:c r="A6" s="15" t="str">
        <x:v>6-piece package</x:v>
      </x:c>
      <x:c r="B6" s="15" t="str">
        <x:v>Standard</x:v>
      </x:c>
      <x:c r="C6" s="21" t="n">
        <x:v>2</x:v>
      </x:c>
      <x:c r="D6" s="21" t="n">
        <x:v>2</x:v>
      </x:c>
      <x:c r="E6" s="21" t="n">
        <x:v>2</x:v>
      </x:c>
      <x:c r="F6" s="21" t="n">
        <x:v>6</x:v>
      </x:c>
      <x:c r="G6" s="15" t="str">
        <x:v>White Rounded Border</x:v>
      </x:c>
      <x:c r="H6" s="39"/>
      <x:c r="I6" s="40" t="str">
        <x:f>IF(H6="","",F6*H6)</x:f>
      </x:c>
      <x:c r="J6" s="41" t="n">
        <x:v>100</x:v>
      </x:c>
      <x:c r="K6" s="46" t="str">
        <x:v>Enter the per-frame unit price in column H.</x:v>
      </x:c>
      <x:c r="L6" s="32" t="str">
        <x:v>8-piece package</x:v>
      </x:c>
      <x:c r="M6" s="32" t="n">
        <x:v>8</x:v>
      </x:c>
      <x:c r="N6" s="32" t="str">
        <x:v>4 × 8", 2 × 10", 2 × 12"</x:v>
      </x:c>
      <x:c r="O6" s="32" t="str">
        <x:v>Standard</x:v>
      </x:c>
    </x:row>
    <x:row r="7" ht="24" customHeight="1">
      <x:c r="A7" s="15" t="str">
        <x:v>6-piece package</x:v>
      </x:c>
      <x:c r="B7" s="15" t="str">
        <x:v>Standard</x:v>
      </x:c>
      <x:c r="C7" s="21" t="n">
        <x:v>2</x:v>
      </x:c>
      <x:c r="D7" s="21" t="n">
        <x:v>2</x:v>
      </x:c>
      <x:c r="E7" s="21" t="n">
        <x:v>2</x:v>
      </x:c>
      <x:c r="F7" s="21" t="n">
        <x:v>6</x:v>
      </x:c>
      <x:c r="G7" s="15" t="str">
        <x:v>Silver Rounded Border</x:v>
      </x:c>
      <x:c r="H7" s="39"/>
      <x:c r="I7" s="40" t="str">
        <x:f>IF(H7="","",F7*H7)</x:f>
      </x:c>
      <x:c r="J7" s="41" t="n">
        <x:v>100</x:v>
      </x:c>
      <x:c r="K7" s="46" t="str">
        <x:v>Enter the per-frame unit price in column H.</x:v>
      </x:c>
      <x:c r="L7" s="32" t="str">
        <x:v>10-piece package</x:v>
      </x:c>
      <x:c r="M7" s="32" t="n">
        <x:v>10</x:v>
      </x:c>
      <x:c r="N7" s="32" t="str">
        <x:v>6 × 8", 2 × 10", 2 × 12"</x:v>
      </x:c>
      <x:c r="O7" s="35" t="str">
        <x:v>Most Popular</x:v>
      </x:c>
    </x:row>
    <x:row r="8" ht="24" customHeight="1">
      <x:c r="A8" s="15" t="str">
        <x:v>6-piece package</x:v>
      </x:c>
      <x:c r="B8" s="15" t="str">
        <x:v>Standard</x:v>
      </x:c>
      <x:c r="C8" s="21" t="n">
        <x:v>2</x:v>
      </x:c>
      <x:c r="D8" s="21" t="n">
        <x:v>2</x:v>
      </x:c>
      <x:c r="E8" s="21" t="n">
        <x:v>2</x:v>
      </x:c>
      <x:c r="F8" s="21" t="n">
        <x:v>6</x:v>
      </x:c>
      <x:c r="G8" s="15" t="str">
        <x:v>Black Rounded Border</x:v>
      </x:c>
      <x:c r="H8" s="39"/>
      <x:c r="I8" s="40" t="str">
        <x:f>IF(H8="","",F8*H8)</x:f>
      </x:c>
      <x:c r="J8" s="41" t="n">
        <x:v>100</x:v>
      </x:c>
      <x:c r="K8" s="46" t="str">
        <x:v>Enter the per-frame unit price in column H.</x:v>
      </x:c>
    </x:row>
    <x:row r="9" ht="24" customHeight="1">
      <x:c r="A9" s="15" t="str">
        <x:v>6-piece package</x:v>
      </x:c>
      <x:c r="B9" s="15" t="str">
        <x:v>Standard</x:v>
      </x:c>
      <x:c r="C9" s="21" t="n">
        <x:v>2</x:v>
      </x:c>
      <x:c r="D9" s="21" t="n">
        <x:v>2</x:v>
      </x:c>
      <x:c r="E9" s="21" t="n">
        <x:v>2</x:v>
      </x:c>
      <x:c r="F9" s="21" t="n">
        <x:v>6</x:v>
      </x:c>
      <x:c r="G9" s="15" t="str">
        <x:v>Gold Square Corner</x:v>
      </x:c>
      <x:c r="H9" s="39"/>
      <x:c r="I9" s="40" t="str">
        <x:f>IF(H9="","",F9*H9)</x:f>
      </x:c>
      <x:c r="J9" s="41" t="n">
        <x:v>100</x:v>
      </x:c>
      <x:c r="K9" s="46" t="str">
        <x:v>Enter the per-frame unit price in column H.</x:v>
      </x:c>
      <x:c r="L9" s="37" t="str">
        <x:v>Material names match the folders in public/frame-products.</x:v>
      </x:c>
      <x:c r="M9" s="37"/>
      <x:c r="N9" s="37"/>
      <x:c r="O9" s="37"/>
    </x:row>
    <x:row r="10" ht="24" customHeight="1">
      <x:c r="A10" s="15" t="str">
        <x:v>6-piece package</x:v>
      </x:c>
      <x:c r="B10" s="15" t="str">
        <x:v>Standard</x:v>
      </x:c>
      <x:c r="C10" s="21" t="n">
        <x:v>2</x:v>
      </x:c>
      <x:c r="D10" s="21" t="n">
        <x:v>2</x:v>
      </x:c>
      <x:c r="E10" s="21" t="n">
        <x:v>2</x:v>
      </x:c>
      <x:c r="F10" s="21" t="n">
        <x:v>6</x:v>
      </x:c>
      <x:c r="G10" s="15" t="str">
        <x:v>Solid Wood - Warm Walnut</x:v>
      </x:c>
      <x:c r="H10" s="39"/>
      <x:c r="I10" s="40" t="str">
        <x:f>IF(H10="","",F10*H10)</x:f>
      </x:c>
      <x:c r="J10" s="41" t="n">
        <x:v>100</x:v>
      </x:c>
      <x:c r="K10" s="46" t="str">
        <x:v>Enter the per-frame unit price in column H.</x:v>
      </x:c>
    </x:row>
    <x:row r="11" ht="24" customHeight="1">
      <x:c r="A11" s="15" t="str">
        <x:v>6-piece package</x:v>
      </x:c>
      <x:c r="B11" s="15" t="str">
        <x:v>Standard</x:v>
      </x:c>
      <x:c r="C11" s="21" t="n">
        <x:v>2</x:v>
      </x:c>
      <x:c r="D11" s="21" t="n">
        <x:v>2</x:v>
      </x:c>
      <x:c r="E11" s="21" t="n">
        <x:v>2</x:v>
      </x:c>
      <x:c r="F11" s="21" t="n">
        <x:v>6</x:v>
      </x:c>
      <x:c r="G11" s="15" t="str">
        <x:v>Fresh Light Wheat</x:v>
      </x:c>
      <x:c r="H11" s="39"/>
      <x:c r="I11" s="40" t="str">
        <x:f>IF(H11="","",F11*H11)</x:f>
      </x:c>
      <x:c r="J11" s="41" t="n">
        <x:v>100</x:v>
      </x:c>
      <x:c r="K11" s="46" t="str">
        <x:v>Enter the per-frame unit price in column H.</x:v>
      </x:c>
    </x:row>
    <x:row r="12" ht="24" customHeight="1">
      <x:c r="A12" s="15" t="str">
        <x:v>6-piece package</x:v>
      </x:c>
      <x:c r="B12" s="15" t="str">
        <x:v>Standard</x:v>
      </x:c>
      <x:c r="C12" s="21" t="n">
        <x:v>2</x:v>
      </x:c>
      <x:c r="D12" s="21" t="n">
        <x:v>2</x:v>
      </x:c>
      <x:c r="E12" s="21" t="n">
        <x:v>2</x:v>
      </x:c>
      <x:c r="F12" s="21" t="n">
        <x:v>6</x:v>
      </x:c>
      <x:c r="G12" s="15" t="str">
        <x:v>Roasted Tea</x:v>
      </x:c>
      <x:c r="H12" s="39"/>
      <x:c r="I12" s="40" t="str">
        <x:f>IF(H12="","",F12*H12)</x:f>
      </x:c>
      <x:c r="J12" s="41" t="n">
        <x:v>100</x:v>
      </x:c>
      <x:c r="K12" s="46" t="str">
        <x:v>Enter the per-frame unit price in column H.</x:v>
      </x:c>
    </x:row>
    <x:row r="13" ht="24" customHeight="1">
      <x:c r="A13" s="15" t="str">
        <x:v>6-piece package</x:v>
      </x:c>
      <x:c r="B13" s="15" t="str">
        <x:v>Standard</x:v>
      </x:c>
      <x:c r="C13" s="21" t="n">
        <x:v>2</x:v>
      </x:c>
      <x:c r="D13" s="21" t="n">
        <x:v>2</x:v>
      </x:c>
      <x:c r="E13" s="21" t="n">
        <x:v>2</x:v>
      </x:c>
      <x:c r="F13" s="21" t="n">
        <x:v>6</x:v>
      </x:c>
      <x:c r="G13" s="15" t="str">
        <x:v>Black Walnut</x:v>
      </x:c>
      <x:c r="H13" s="39"/>
      <x:c r="I13" s="40" t="str">
        <x:f>IF(H13="","",F13*H13)</x:f>
      </x:c>
      <x:c r="J13" s="41" t="n">
        <x:v>100</x:v>
      </x:c>
      <x:c r="K13" s="46" t="str">
        <x:v>Enter the per-frame unit price in column H.</x:v>
      </x:c>
    </x:row>
    <x:row r="14" ht="24" customHeight="1">
      <x:c r="A14" s="15" t="str">
        <x:v>8-piece package</x:v>
      </x:c>
      <x:c r="B14" s="15" t="str">
        <x:v>Standard</x:v>
      </x:c>
      <x:c r="C14" s="21" t="n">
        <x:v>4</x:v>
      </x:c>
      <x:c r="D14" s="21" t="n">
        <x:v>2</x:v>
      </x:c>
      <x:c r="E14" s="21" t="n">
        <x:v>2</x:v>
      </x:c>
      <x:c r="F14" s="21" t="n">
        <x:v>8</x:v>
      </x:c>
      <x:c r="G14" s="15" t="str">
        <x:v>Frameless Rounded Corner</x:v>
      </x:c>
      <x:c r="H14" s="39"/>
      <x:c r="I14" s="40" t="str">
        <x:f>IF(H14="","",F14*H14)</x:f>
      </x:c>
      <x:c r="J14" s="41" t="n">
        <x:v>100</x:v>
      </x:c>
      <x:c r="K14" s="46" t="str">
        <x:v>Enter the per-frame unit price in column H.</x:v>
      </x:c>
    </x:row>
    <x:row r="15" ht="24" customHeight="1">
      <x:c r="A15" s="15" t="str">
        <x:v>8-piece package</x:v>
      </x:c>
      <x:c r="B15" s="15" t="str">
        <x:v>Standard</x:v>
      </x:c>
      <x:c r="C15" s="21" t="n">
        <x:v>4</x:v>
      </x:c>
      <x:c r="D15" s="21" t="n">
        <x:v>2</x:v>
      </x:c>
      <x:c r="E15" s="21" t="n">
        <x:v>2</x:v>
      </x:c>
      <x:c r="F15" s="21" t="n">
        <x:v>8</x:v>
      </x:c>
      <x:c r="G15" s="15" t="str">
        <x:v>White Rounded Border</x:v>
      </x:c>
      <x:c r="H15" s="39"/>
      <x:c r="I15" s="40" t="str">
        <x:f>IF(H15="","",F15*H15)</x:f>
      </x:c>
      <x:c r="J15" s="41" t="n">
        <x:v>100</x:v>
      </x:c>
      <x:c r="K15" s="46" t="str">
        <x:v>Enter the per-frame unit price in column H.</x:v>
      </x:c>
    </x:row>
    <x:row r="16" ht="24" customHeight="1">
      <x:c r="A16" s="15" t="str">
        <x:v>8-piece package</x:v>
      </x:c>
      <x:c r="B16" s="15" t="str">
        <x:v>Standard</x:v>
      </x:c>
      <x:c r="C16" s="21" t="n">
        <x:v>4</x:v>
      </x:c>
      <x:c r="D16" s="21" t="n">
        <x:v>2</x:v>
      </x:c>
      <x:c r="E16" s="21" t="n">
        <x:v>2</x:v>
      </x:c>
      <x:c r="F16" s="21" t="n">
        <x:v>8</x:v>
      </x:c>
      <x:c r="G16" s="15" t="str">
        <x:v>Silver Rounded Border</x:v>
      </x:c>
      <x:c r="H16" s="39"/>
      <x:c r="I16" s="40" t="str">
        <x:f>IF(H16="","",F16*H16)</x:f>
      </x:c>
      <x:c r="J16" s="41" t="n">
        <x:v>100</x:v>
      </x:c>
      <x:c r="K16" s="46" t="str">
        <x:v>Enter the per-frame unit price in column H.</x:v>
      </x:c>
    </x:row>
    <x:row r="17" ht="24" customHeight="1">
      <x:c r="A17" s="15" t="str">
        <x:v>8-piece package</x:v>
      </x:c>
      <x:c r="B17" s="15" t="str">
        <x:v>Standard</x:v>
      </x:c>
      <x:c r="C17" s="21" t="n">
        <x:v>4</x:v>
      </x:c>
      <x:c r="D17" s="21" t="n">
        <x:v>2</x:v>
      </x:c>
      <x:c r="E17" s="21" t="n">
        <x:v>2</x:v>
      </x:c>
      <x:c r="F17" s="21" t="n">
        <x:v>8</x:v>
      </x:c>
      <x:c r="G17" s="15" t="str">
        <x:v>Black Rounded Border</x:v>
      </x:c>
      <x:c r="H17" s="39"/>
      <x:c r="I17" s="40" t="str">
        <x:f>IF(H17="","",F17*H17)</x:f>
      </x:c>
      <x:c r="J17" s="41" t="n">
        <x:v>100</x:v>
      </x:c>
      <x:c r="K17" s="46" t="str">
        <x:v>Enter the per-frame unit price in column H.</x:v>
      </x:c>
    </x:row>
    <x:row r="18" ht="24" customHeight="1">
      <x:c r="A18" s="15" t="str">
        <x:v>8-piece package</x:v>
      </x:c>
      <x:c r="B18" s="15" t="str">
        <x:v>Standard</x:v>
      </x:c>
      <x:c r="C18" s="21" t="n">
        <x:v>4</x:v>
      </x:c>
      <x:c r="D18" s="21" t="n">
        <x:v>2</x:v>
      </x:c>
      <x:c r="E18" s="21" t="n">
        <x:v>2</x:v>
      </x:c>
      <x:c r="F18" s="21" t="n">
        <x:v>8</x:v>
      </x:c>
      <x:c r="G18" s="15" t="str">
        <x:v>Gold Square Corner</x:v>
      </x:c>
      <x:c r="H18" s="39"/>
      <x:c r="I18" s="40" t="str">
        <x:f>IF(H18="","",F18*H18)</x:f>
      </x:c>
      <x:c r="J18" s="41" t="n">
        <x:v>100</x:v>
      </x:c>
      <x:c r="K18" s="46" t="str">
        <x:v>Enter the per-frame unit price in column H.</x:v>
      </x:c>
    </x:row>
    <x:row r="19" ht="24" customHeight="1">
      <x:c r="A19" s="15" t="str">
        <x:v>8-piece package</x:v>
      </x:c>
      <x:c r="B19" s="15" t="str">
        <x:v>Standard</x:v>
      </x:c>
      <x:c r="C19" s="21" t="n">
        <x:v>4</x:v>
      </x:c>
      <x:c r="D19" s="21" t="n">
        <x:v>2</x:v>
      </x:c>
      <x:c r="E19" s="21" t="n">
        <x:v>2</x:v>
      </x:c>
      <x:c r="F19" s="21" t="n">
        <x:v>8</x:v>
      </x:c>
      <x:c r="G19" s="15" t="str">
        <x:v>Solid Wood - Warm Walnut</x:v>
      </x:c>
      <x:c r="H19" s="39"/>
      <x:c r="I19" s="40" t="str">
        <x:f>IF(H19="","",F19*H19)</x:f>
      </x:c>
      <x:c r="J19" s="41" t="n">
        <x:v>100</x:v>
      </x:c>
      <x:c r="K19" s="46" t="str">
        <x:v>Enter the per-frame unit price in column H.</x:v>
      </x:c>
    </x:row>
    <x:row r="20" ht="24" customHeight="1">
      <x:c r="A20" s="15" t="str">
        <x:v>8-piece package</x:v>
      </x:c>
      <x:c r="B20" s="15" t="str">
        <x:v>Standard</x:v>
      </x:c>
      <x:c r="C20" s="21" t="n">
        <x:v>4</x:v>
      </x:c>
      <x:c r="D20" s="21" t="n">
        <x:v>2</x:v>
      </x:c>
      <x:c r="E20" s="21" t="n">
        <x:v>2</x:v>
      </x:c>
      <x:c r="F20" s="21" t="n">
        <x:v>8</x:v>
      </x:c>
      <x:c r="G20" s="15" t="str">
        <x:v>Fresh Light Wheat</x:v>
      </x:c>
      <x:c r="H20" s="39"/>
      <x:c r="I20" s="40" t="str">
        <x:f>IF(H20="","",F20*H20)</x:f>
      </x:c>
      <x:c r="J20" s="41" t="n">
        <x:v>100</x:v>
      </x:c>
      <x:c r="K20" s="46" t="str">
        <x:v>Enter the per-frame unit price in column H.</x:v>
      </x:c>
    </x:row>
    <x:row r="21" ht="24" customHeight="1">
      <x:c r="A21" s="15" t="str">
        <x:v>8-piece package</x:v>
      </x:c>
      <x:c r="B21" s="15" t="str">
        <x:v>Standard</x:v>
      </x:c>
      <x:c r="C21" s="21" t="n">
        <x:v>4</x:v>
      </x:c>
      <x:c r="D21" s="21" t="n">
        <x:v>2</x:v>
      </x:c>
      <x:c r="E21" s="21" t="n">
        <x:v>2</x:v>
      </x:c>
      <x:c r="F21" s="21" t="n">
        <x:v>8</x:v>
      </x:c>
      <x:c r="G21" s="15" t="str">
        <x:v>Roasted Tea</x:v>
      </x:c>
      <x:c r="H21" s="39"/>
      <x:c r="I21" s="40" t="str">
        <x:f>IF(H21="","",F21*H21)</x:f>
      </x:c>
      <x:c r="J21" s="41" t="n">
        <x:v>100</x:v>
      </x:c>
      <x:c r="K21" s="46" t="str">
        <x:v>Enter the per-frame unit price in column H.</x:v>
      </x:c>
    </x:row>
    <x:row r="22" ht="24" customHeight="1">
      <x:c r="A22" s="15" t="str">
        <x:v>8-piece package</x:v>
      </x:c>
      <x:c r="B22" s="15" t="str">
        <x:v>Standard</x:v>
      </x:c>
      <x:c r="C22" s="21" t="n">
        <x:v>4</x:v>
      </x:c>
      <x:c r="D22" s="21" t="n">
        <x:v>2</x:v>
      </x:c>
      <x:c r="E22" s="21" t="n">
        <x:v>2</x:v>
      </x:c>
      <x:c r="F22" s="21" t="n">
        <x:v>8</x:v>
      </x:c>
      <x:c r="G22" s="15" t="str">
        <x:v>Black Walnut</x:v>
      </x:c>
      <x:c r="H22" s="39"/>
      <x:c r="I22" s="40" t="str">
        <x:f>IF(H22="","",F22*H22)</x:f>
      </x:c>
      <x:c r="J22" s="41" t="n">
        <x:v>100</x:v>
      </x:c>
      <x:c r="K22" s="46" t="str">
        <x:v>Enter the per-frame unit price in column H.</x:v>
      </x:c>
    </x:row>
    <x:row r="23" ht="24" customHeight="1">
      <x:c r="A23" s="15" t="str">
        <x:v>10-piece package</x:v>
      </x:c>
      <x:c r="B23" s="24" t="str">
        <x:v>Most Popular</x:v>
      </x:c>
      <x:c r="C23" s="21" t="n">
        <x:v>6</x:v>
      </x:c>
      <x:c r="D23" s="21" t="n">
        <x:v>2</x:v>
      </x:c>
      <x:c r="E23" s="21" t="n">
        <x:v>2</x:v>
      </x:c>
      <x:c r="F23" s="21" t="n">
        <x:v>10</x:v>
      </x:c>
      <x:c r="G23" s="15" t="str">
        <x:v>Frameless Rounded Corner</x:v>
      </x:c>
      <x:c r="H23" s="39"/>
      <x:c r="I23" s="40" t="str">
        <x:f>IF(H23="","",F23*H23)</x:f>
      </x:c>
      <x:c r="J23" s="41" t="n">
        <x:v>100</x:v>
      </x:c>
      <x:c r="K23" s="46" t="str">
        <x:v>Enter the per-frame unit price in column H.</x:v>
      </x:c>
    </x:row>
    <x:row r="24" ht="24" customHeight="1">
      <x:c r="A24" s="15" t="str">
        <x:v>10-piece package</x:v>
      </x:c>
      <x:c r="B24" s="24" t="str">
        <x:v>Most Popular</x:v>
      </x:c>
      <x:c r="C24" s="21" t="n">
        <x:v>6</x:v>
      </x:c>
      <x:c r="D24" s="21" t="n">
        <x:v>2</x:v>
      </x:c>
      <x:c r="E24" s="21" t="n">
        <x:v>2</x:v>
      </x:c>
      <x:c r="F24" s="21" t="n">
        <x:v>10</x:v>
      </x:c>
      <x:c r="G24" s="15" t="str">
        <x:v>White Rounded Border</x:v>
      </x:c>
      <x:c r="H24" s="39"/>
      <x:c r="I24" s="40" t="str">
        <x:f>IF(H24="","",F24*H24)</x:f>
      </x:c>
      <x:c r="J24" s="41" t="n">
        <x:v>100</x:v>
      </x:c>
      <x:c r="K24" s="46" t="str">
        <x:v>Enter the per-frame unit price in column H.</x:v>
      </x:c>
    </x:row>
    <x:row r="25" ht="24" customHeight="1">
      <x:c r="A25" s="15" t="str">
        <x:v>10-piece package</x:v>
      </x:c>
      <x:c r="B25" s="24" t="str">
        <x:v>Most Popular</x:v>
      </x:c>
      <x:c r="C25" s="21" t="n">
        <x:v>6</x:v>
      </x:c>
      <x:c r="D25" s="21" t="n">
        <x:v>2</x:v>
      </x:c>
      <x:c r="E25" s="21" t="n">
        <x:v>2</x:v>
      </x:c>
      <x:c r="F25" s="21" t="n">
        <x:v>10</x:v>
      </x:c>
      <x:c r="G25" s="15" t="str">
        <x:v>Silver Rounded Border</x:v>
      </x:c>
      <x:c r="H25" s="39"/>
      <x:c r="I25" s="40" t="str">
        <x:f>IF(H25="","",F25*H25)</x:f>
      </x:c>
      <x:c r="J25" s="41" t="n">
        <x:v>100</x:v>
      </x:c>
      <x:c r="K25" s="46" t="str">
        <x:v>Enter the per-frame unit price in column H.</x:v>
      </x:c>
    </x:row>
    <x:row r="26" ht="24" customHeight="1">
      <x:c r="A26" s="15" t="str">
        <x:v>10-piece package</x:v>
      </x:c>
      <x:c r="B26" s="24" t="str">
        <x:v>Most Popular</x:v>
      </x:c>
      <x:c r="C26" s="21" t="n">
        <x:v>6</x:v>
      </x:c>
      <x:c r="D26" s="21" t="n">
        <x:v>2</x:v>
      </x:c>
      <x:c r="E26" s="21" t="n">
        <x:v>2</x:v>
      </x:c>
      <x:c r="F26" s="21" t="n">
        <x:v>10</x:v>
      </x:c>
      <x:c r="G26" s="15" t="str">
        <x:v>Black Rounded Border</x:v>
      </x:c>
      <x:c r="H26" s="39"/>
      <x:c r="I26" s="40" t="str">
        <x:f>IF(H26="","",F26*H26)</x:f>
      </x:c>
      <x:c r="J26" s="41" t="n">
        <x:v>100</x:v>
      </x:c>
      <x:c r="K26" s="46" t="str">
        <x:v>Enter the per-frame unit price in column H.</x:v>
      </x:c>
    </x:row>
    <x:row r="27" ht="24" customHeight="1">
      <x:c r="A27" s="15" t="str">
        <x:v>10-piece package</x:v>
      </x:c>
      <x:c r="B27" s="24" t="str">
        <x:v>Most Popular</x:v>
      </x:c>
      <x:c r="C27" s="21" t="n">
        <x:v>6</x:v>
      </x:c>
      <x:c r="D27" s="21" t="n">
        <x:v>2</x:v>
      </x:c>
      <x:c r="E27" s="21" t="n">
        <x:v>2</x:v>
      </x:c>
      <x:c r="F27" s="21" t="n">
        <x:v>10</x:v>
      </x:c>
      <x:c r="G27" s="15" t="str">
        <x:v>Gold Square Corner</x:v>
      </x:c>
      <x:c r="H27" s="39"/>
      <x:c r="I27" s="40" t="str">
        <x:f>IF(H27="","",F27*H27)</x:f>
      </x:c>
      <x:c r="J27" s="41" t="n">
        <x:v>100</x:v>
      </x:c>
      <x:c r="K27" s="46" t="str">
        <x:v>Enter the per-frame unit price in column H.</x:v>
      </x:c>
    </x:row>
    <x:row r="28" ht="24" customHeight="1">
      <x:c r="A28" s="15" t="str">
        <x:v>10-piece package</x:v>
      </x:c>
      <x:c r="B28" s="24" t="str">
        <x:v>Most Popular</x:v>
      </x:c>
      <x:c r="C28" s="21" t="n">
        <x:v>6</x:v>
      </x:c>
      <x:c r="D28" s="21" t="n">
        <x:v>2</x:v>
      </x:c>
      <x:c r="E28" s="21" t="n">
        <x:v>2</x:v>
      </x:c>
      <x:c r="F28" s="21" t="n">
        <x:v>10</x:v>
      </x:c>
      <x:c r="G28" s="15" t="str">
        <x:v>Solid Wood - Warm Walnut</x:v>
      </x:c>
      <x:c r="H28" s="39"/>
      <x:c r="I28" s="40" t="str">
        <x:f>IF(H28="","",F28*H28)</x:f>
      </x:c>
      <x:c r="J28" s="41" t="n">
        <x:v>100</x:v>
      </x:c>
      <x:c r="K28" s="46" t="str">
        <x:v>Enter the per-frame unit price in column H.</x:v>
      </x:c>
    </x:row>
    <x:row r="29" ht="24" customHeight="1">
      <x:c r="A29" s="15" t="str">
        <x:v>10-piece package</x:v>
      </x:c>
      <x:c r="B29" s="24" t="str">
        <x:v>Most Popular</x:v>
      </x:c>
      <x:c r="C29" s="21" t="n">
        <x:v>6</x:v>
      </x:c>
      <x:c r="D29" s="21" t="n">
        <x:v>2</x:v>
      </x:c>
      <x:c r="E29" s="21" t="n">
        <x:v>2</x:v>
      </x:c>
      <x:c r="F29" s="21" t="n">
        <x:v>10</x:v>
      </x:c>
      <x:c r="G29" s="15" t="str">
        <x:v>Fresh Light Wheat</x:v>
      </x:c>
      <x:c r="H29" s="39"/>
      <x:c r="I29" s="40" t="str">
        <x:f>IF(H29="","",F29*H29)</x:f>
      </x:c>
      <x:c r="J29" s="41" t="n">
        <x:v>100</x:v>
      </x:c>
      <x:c r="K29" s="46" t="str">
        <x:v>Enter the per-frame unit price in column H.</x:v>
      </x:c>
    </x:row>
    <x:row r="30" ht="24" customHeight="1">
      <x:c r="A30" s="15" t="str">
        <x:v>10-piece package</x:v>
      </x:c>
      <x:c r="B30" s="24" t="str">
        <x:v>Most Popular</x:v>
      </x:c>
      <x:c r="C30" s="21" t="n">
        <x:v>6</x:v>
      </x:c>
      <x:c r="D30" s="21" t="n">
        <x:v>2</x:v>
      </x:c>
      <x:c r="E30" s="21" t="n">
        <x:v>2</x:v>
      </x:c>
      <x:c r="F30" s="21" t="n">
        <x:v>10</x:v>
      </x:c>
      <x:c r="G30" s="15" t="str">
        <x:v>Roasted Tea</x:v>
      </x:c>
      <x:c r="H30" s="39"/>
      <x:c r="I30" s="40" t="str">
        <x:f>IF(H30="","",F30*H30)</x:f>
      </x:c>
      <x:c r="J30" s="41" t="n">
        <x:v>100</x:v>
      </x:c>
      <x:c r="K30" s="46" t="str">
        <x:v>Enter the per-frame unit price in column H.</x:v>
      </x:c>
    </x:row>
    <x:row r="31" ht="24" customHeight="1">
      <x:c r="A31" s="15" t="str">
        <x:v>10-piece package</x:v>
      </x:c>
      <x:c r="B31" s="24" t="str">
        <x:v>Most Popular</x:v>
      </x:c>
      <x:c r="C31" s="21" t="n">
        <x:v>6</x:v>
      </x:c>
      <x:c r="D31" s="21" t="n">
        <x:v>2</x:v>
      </x:c>
      <x:c r="E31" s="21" t="n">
        <x:v>2</x:v>
      </x:c>
      <x:c r="F31" s="21" t="n">
        <x:v>10</x:v>
      </x:c>
      <x:c r="G31" s="15" t="str">
        <x:v>Black Walnut</x:v>
      </x:c>
      <x:c r="H31" s="39"/>
      <x:c r="I31" s="40" t="str">
        <x:f>IF(H31="","",F31*H31)</x:f>
      </x:c>
      <x:c r="J31" s="41" t="n">
        <x:v>100</x:v>
      </x:c>
      <x:c r="K31" s="46" t="str">
        <x:v>Enter the per-frame unit price in column H.</x:v>
      </x:c>
    </x:row>
  </x:sheetData>
  <x:mergeCells>
    <x:mergeCell ref="A1:J1"/>
    <x:mergeCell ref="A2:J2"/>
    <x:mergeCell ref="L9:O9"/>
  </x:mergeCells>
  <x:pageMargins left="0.7" right="0.7" top="0.75" bottom="0.75" header="0.3" footer="0.3"/>
</x:worksheet>
</file>