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42debbedf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 Pricing" sheetId="1" r:id="Ra71473e410744ba1"/>
  </x:sheets>
</x:workbook>
</file>

<file path=xl/sharedStrings.xml><?xml version="1.0" encoding="utf-8"?>
<x:sst xmlns:x="http://schemas.openxmlformats.org/spreadsheetml/2006/main">
  <x:si>
    <x:t xml:space="preserve">Moment Booth · Photo Frame Package Pricing</x:t>
  </x:si>
  <x:si>
    <x:t xml:space="preserve">Fill in the yellow cells for each material. Prices are in SGD; keep the original price and new package price side by side for comparison.</x:t>
  </x:si>
  <x:si>
    <x:t xml:space="preserve">Package</x:t>
  </x:si>
  <x:si>
    <x:t xml:space="preserve">Popularity</x:t>
  </x:si>
  <x:si>
    <x:t xml:space="preserve">8" Qty</x:t>
  </x:si>
  <x:si>
    <x:t xml:space="preserve">10" Qty</x:t>
  </x:si>
  <x:si>
    <x:t xml:space="preserve">12" Qty</x:t>
  </x:si>
  <x:si>
    <x:t xml:space="preserve">A4 Qty</x:t>
  </x:si>
  <x:si>
    <x:t xml:space="preserve">Total Frames</x:t>
  </x:si>
  <x:si>
    <x:t xml:space="preserve">Material</x:t>
  </x:si>
  <x:si>
    <x:t xml:space="preserve">8" Unit Price (SGD)</x:t>
  </x:si>
  <x:si>
    <x:t xml:space="preserve">10" Unit Price (SGD)</x:t>
  </x:si>
  <x:si>
    <x:t xml:space="preserve">12" Unit Price (SGD)</x:t>
  </x:si>
  <x:si>
    <x:t xml:space="preserve">A4 Unit Price (SGD)</x:t>
  </x:si>
  <x:si>
    <x:t xml:space="preserve">Original Price (SGD)</x:t>
  </x:si>
  <x:si>
    <x:t xml:space="preserve">New Package Price (SGD)</x:t>
  </x:si>
  <x:si>
    <x:t xml:space="preserve">Size breakdown</x:t>
  </x:si>
  <x:si>
    <x:t xml:space="preserve">Package guide</x:t>
  </x:si>
  <x:si>
    <x:t xml:space="preserve">Total frames</x:t>
  </x:si>
  <x:si>
    <x:t xml:space="preserve">Positioning</x:t>
  </x:si>
  <x:si>
    <x:t xml:space="preserve">6-piece package</x:t>
  </x:si>
  <x:si>
    <x:t xml:space="preserve">Standard</x:t>
  </x:si>
  <x:si>
    <x:t xml:space="preserve">Frameless Rounded Corner</x:t>
  </x:si>
  <x:si>
    <x:t xml:space="preserve">2 × 8", 2 × 10", 2 × 12"</x:t>
  </x:si>
  <x:si>
    <x:t xml:space="preserve">White Rounded Border</x:t>
  </x:si>
  <x:si>
    <x:t xml:space="preserve">4 × 8", 2 × 10", 2 × 12"</x:t>
  </x:si>
  <x:si>
    <x:t xml:space="preserve">8-piece package</x:t>
  </x:si>
  <x:si>
    <x:t xml:space="preserve">Silver Rounded Border</x:t>
  </x:si>
  <x:si>
    <x:t xml:space="preserve">6 × 8", 2 × 10", 2 × 12"</x:t>
  </x:si>
  <x:si>
    <x:t xml:space="preserve">10-piece package</x:t>
  </x:si>
  <x:si>
    <x:t xml:space="preserve">Most Popular</x:t>
  </x:si>
  <x:si>
    <x:t xml:space="preserve">Black Rounded Border</x:t>
  </x:si>
  <x:si>
    <x:t xml:space="preserve">Gold Square Corner</x:t>
  </x:si>
  <x:si>
    <x:t xml:space="preserve">Material names match the folders in public/frame-products.</x:t>
  </x:si>
  <x:si>
    <x:t xml:space="preserve">Solid Wood - Warm Walnut</x:t>
  </x:si>
  <x:si>
    <x:t xml:space="preserve">Fresh Light Wheat</x:t>
  </x:si>
  <x:si>
    <x:t xml:space="preserve">Roasted Tea</x:t>
  </x:si>
  <x:si>
    <x:t xml:space="preserve">Black Walnut</x:t>
  </x:si>
</x:sst>
</file>

<file path=xl/styles.xml><?xml version="1.0" encoding="utf-8"?>
<x:styleSheet xmlns:x="http://schemas.openxmlformats.org/spreadsheetml/2006/main">
  <x:numFmts count="5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&quot;$&quot;#,##0.00"/>
  </x:numFmts>
  <x:fonts count="3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b/>
      <x:sz val="10"/>
      <x:color rgb="FF1F2340"/>
      <x:name val="Carlito"/>
    </x:font>
    <x:font>
      <x:b/>
      <x:sz val="11"/>
      <x:color rgb="FF1F2340"/>
      <x:name val="Carlito"/>
    </x:font>
    <x:font>
      <x:sz val="10"/>
      <x:color rgb="FF20243A"/>
      <x:name val="Carlito"/>
    </x:font>
    <x:font>
      <x:b/>
      <x:sz val="10"/>
      <x:color rgb="FF7A4E00"/>
      <x:name val="Carlito"/>
    </x:font>
    <x:font>
      <x:i/>
      <x:sz val="11"/>
      <x:color rgb="FF6B7280"/>
      <x:name val="Carlito"/>
    </x:font>
    <x:font>
      <x:sz val="10"/>
      <x:color rgb="FF334155"/>
      <x:name val="Carlito"/>
    </x:font>
    <x:font>
      <x:i/>
      <x:sz val="10"/>
      <x:color rgb="FF6B7280"/>
      <x:name val="Carlito"/>
    </x:font>
    <x:font>
      <x:b/>
      <x:sz val="10"/>
      <x:color rgb="FF5B21B6"/>
      <x:name val="Carlito"/>
    </x:font>
    <x:font>
      <x:i/>
      <x:sz val="9"/>
      <x:color rgb="FF6B7280"/>
      <x:name val="Carlito"/>
    </x:font>
    <x:font>
      <x:i/>
      <x:sz val="9"/>
      <x:color rgb="FF64748B"/>
      <x:name val="Carlito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41">
    <x:fill>
      <x:patternFill patternType="none"/>
    </x:fill>
    <x:fill>
      <x:patternFill patternType="gray125"/>
    </x:fill>
    <x:fill>
      <x:patternFill patternType="solid">
        <x:fgColor rgb="FF1F2340"/>
      </x:patternFill>
    </x:fill>
    <x:fill>
      <x:patternFill patternType="solid">
        <x:fgColor rgb="FFF3F1FF"/>
      </x:patternFill>
    </x:fill>
    <x:fill>
      <x:patternFill patternType="solid">
        <x:fgColor rgb="FF6750E8"/>
      </x:patternFill>
    </x:fill>
    <x:fill>
      <x:patternFill patternType="solid">
        <x:fgColor rgb="FFE9DDFF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EDE9F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9DDFF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176" fontId="14" fillId="0" borderId="0" applyFont="0" applyFill="0" applyBorder="0" applyAlignment="0" applyProtection="0">
      <x:alignment vertical="center"/>
    </x:xf>
    <x:xf numFmtId="44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42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9" borderId="1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2" applyNumberFormat="0" applyFill="0" applyAlignment="0" applyProtection="0">
      <x:alignment vertical="center"/>
    </x:xf>
    <x:xf numFmtId="0" fontId="21" fillId="0" borderId="2" applyNumberFormat="0" applyFill="0" applyAlignment="0" applyProtection="0">
      <x:alignment vertical="center"/>
    </x:xf>
    <x:xf numFmtId="0" fontId="22" fillId="0" borderId="3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10" borderId="4" applyNumberFormat="0" applyAlignment="0" applyProtection="0">
      <x:alignment vertical="center"/>
    </x:xf>
    <x:xf numFmtId="0" fontId="24" fillId="11" borderId="5" applyNumberFormat="0" applyAlignment="0" applyProtection="0">
      <x:alignment vertical="center"/>
    </x:xf>
    <x:xf numFmtId="0" fontId="25" fillId="11" borderId="4" applyNumberFormat="0" applyAlignment="0" applyProtection="0">
      <x:alignment vertical="center"/>
    </x:xf>
    <x:xf numFmtId="0" fontId="26" fillId="12" borderId="6" applyNumberFormat="0" applyAlignment="0" applyProtection="0">
      <x:alignment vertical="center"/>
    </x:xf>
    <x:xf numFmtId="0" fontId="27" fillId="0" borderId="7" applyNumberFormat="0" applyFill="0" applyAlignment="0" applyProtection="0">
      <x:alignment vertical="center"/>
    </x:xf>
    <x:xf numFmtId="0" fontId="28" fillId="0" borderId="8" applyNumberFormat="0" applyFill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3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32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33" fillId="38" borderId="0" applyNumberFormat="0" applyBorder="0" applyAlignment="0" applyProtection="0">
      <x:alignment vertical="center"/>
    </x:xf>
    <x:xf numFmtId="0" fontId="32" fillId="39" borderId="0" applyNumberFormat="0" applyBorder="0" applyAlignment="0" applyProtection="0">
      <x:alignment vertical="center"/>
    </x:xf>
  </x:cellStyleXfs>
  <x:cellXfs count="23">
    <x:xf numFmtId="0" fontId="0" fillId="0" borderId="0" xfId="0"/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1" fontId="6" fillId="0" borderId="0" xfId="0" applyNumberFormat="1" applyFont="1" applyFill="1" applyBorder="1" applyAlignment="1">
      <x:alignment horizontal="center" vertical="center"/>
    </x:xf>
    <x:xf numFmtId="178" fontId="7" fillId="6" borderId="0" xfId="0" applyNumberFormat="1" applyFont="1" applyFill="1" applyBorder="1" applyAlignment="1">
      <x:alignment horizontal="right" vertical="center"/>
    </x:xf>
    <x:xf numFmtId="178" fontId="6" fillId="6" borderId="0" xfId="0" applyNumberFormat="1" applyFont="1" applyFill="1" applyBorder="1" applyAlignment="1">
      <x:alignment vertical="center"/>
    </x:xf>
    <x:xf numFmtId="178" fontId="8" fillId="0" borderId="0" xfId="0" applyNumberFormat="1" applyFont="1" applyFill="1" applyBorder="1"/>
    <x:xf numFmtId="178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vertical="center"/>
    </x:xf>
    <x:xf numFmtId="0" fontId="4" fillId="40" borderId="0" xfId="0" applyNumberFormat="1" applyFont="1" applyFill="1" applyBorder="1" applyAlignment="1">
      <x:alignment horizontal="center"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5ed3b43c04539" /><Relationship Type="http://schemas.openxmlformats.org/officeDocument/2006/relationships/theme" Target="/xl/theme/theme1.xml" Id="R551a6c9b5c424fdc" /><Relationship Type="http://schemas.openxmlformats.org/officeDocument/2006/relationships/sharedStrings" Target="/xl/sharedStrings.xml" Id="R252ee5363e034edf" /><Relationship Type="http://schemas.openxmlformats.org/officeDocument/2006/relationships/worksheet" Target="/xl/worksheets/sheet1.xml" Id="Ra71473e41074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9" customWidth="1"/>
    <x:col min="2" max="2" width="13" customWidth="1"/>
    <x:col min="3" max="7" width="10" customWidth="1"/>
    <x:col min="8" max="8" width="28" customWidth="1"/>
    <x:col min="9" max="12" width="12.647058486938477" customWidth="1"/>
    <x:col min="13" max="13" width="16.169116973876953" customWidth="1"/>
    <x:col min="14" max="14" width="23.03676414489746" customWidth="1"/>
    <x:col min="15" max="15" width="12" customWidth="1"/>
    <x:col min="16" max="16" width="28" customWidth="1"/>
    <x:col min="17" max="17" width="16" customWidth="1"/>
  </x:cols>
  <x:sheetData>
    <x:row r="1" ht="3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2"/>
    </x:row>
    <x:row r="2" ht="25" customHeight="1">
      <x:c r="A2" s="3" t="s">
        <x:v>1</x:v>
      </x:c>
      <x:c r="B2" s="3"/>
      <x:c r="C2" s="3"/>
      <x:c r="D2" s="3"/>
      <x:c r="E2" s="3"/>
      <x:c r="F2" s="3"/>
      <x:c r="G2" s="3"/>
      <x:c r="H2" s="3"/>
      <x:c r="I2" s="3" t="str">
        <x:v>Fill in the yellow unit-price cells for each size. Original package prices calculate automatically from 8", 10", 12" and A4 quantities × their unit prices. For selected wooden finishes, A4 replaces the 12" option.</x:v>
      </x:c>
      <x:c r="J2" s="3"/>
      <x:c r="K2" s="3"/>
      <x:c r="L2" s="4"/>
    </x:row>
    <x:row r="4" ht="30" customHeight="1">
      <x:c r="A4" s="5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6" t="s">
        <x:v>10</x:v>
      </x:c>
      <x:c r="J4" s="6" t="s">
        <x:v>11</x:v>
      </x:c>
      <x:c r="K4" s="6" t="s">
        <x:v>12</x:v>
      </x:c>
      <x:c r="L4" s="6" t="s">
        <x:v>13</x:v>
      </x:c>
      <x:c r="M4" s="7" t="s">
        <x:v>14</x:v>
      </x:c>
      <x:c r="N4" s="6" t="s">
        <x:v>15</x:v>
      </x:c>
      <x:c r="O4" s="22" t="str">
        <x:v>Size note</x:v>
      </x:c>
      <x:c r="P4" s="8" t="s">
        <x:v>16</x:v>
      </x:c>
      <x:c r="Q4" s="8" t="s">
        <x:v>17</x:v>
      </x:c>
      <x:c r="R4" t="s">
        <x:v>18</x:v>
      </x:c>
      <x:c r="S4" t="s">
        <x:v>16</x:v>
      </x:c>
      <x:c r="T4" t="s">
        <x:v>19</x:v>
      </x:c>
    </x:row>
    <x:row r="5" ht="24" customHeight="1">
      <x:c r="A5" s="9" t="s">
        <x:v>20</x:v>
      </x:c>
      <x:c r="B5" s="9" t="s">
        <x:v>21</x:v>
      </x:c>
      <x:c r="C5" s="10">
        <x:v>2</x:v>
      </x:c>
      <x:c r="D5" s="10">
        <x:v>2</x:v>
      </x:c>
      <x:c r="E5" s="10">
        <x:v>2</x:v>
      </x:c>
      <x:c r="F5" s="10">
        <x:v>0</x:v>
      </x:c>
      <x:c r="G5" s="10">
        <x:v>6</x:v>
      </x:c>
      <x:c r="H5" s="9" t="s">
        <x:v>22</x:v>
      </x:c>
      <x:c r="I5" s="11">
        <x:v>13</x:v>
      </x:c>
      <x:c r="J5" s="11">
        <x:v>18</x:v>
      </x:c>
      <x:c r="K5" s="12">
        <x:v>20</x:v>
      </x:c>
      <x:c r="L5" s="12">
        <x:v>0</x:v>
      </x:c>
      <x:c r="M5" s="13" t="n">
        <x:f t="shared" ref="M5" si="0">IF(COUNTA(I5:L5)=0,"",ROUND(C5*I5+D5*J5+E5*K5+F5*L5,2))</x:f>
        <x:v>102</x:v>
      </x:c>
      <x:c r="N5" s="14" t="n">
        <x:f>M5*0.8</x:f>
        <x:v>81.60000000000001</x:v>
      </x:c>
      <x:c r="O5" s="15" t="str">
        <x:v>12" option applies to this frame type.</x:v>
      </x:c>
      <x:c r="P5" s="16" t="s">
        <x:v>23</x:v>
      </x:c>
      <x:c r="Q5" s="16" t="s">
        <x:v>20</x:v>
      </x:c>
      <x:c r="R5">
        <x:v>6</x:v>
      </x:c>
      <x:c r="S5" t="s">
        <x:v>23</x:v>
      </x:c>
      <x:c r="T5" t="s">
        <x:v>21</x:v>
      </x:c>
    </x:row>
    <x:row r="6" ht="24" customHeight="1">
      <x:c r="A6" s="9" t="s">
        <x:v>20</x:v>
      </x:c>
      <x:c r="B6" s="9" t="s">
        <x:v>21</x:v>
      </x:c>
      <x:c r="C6" s="10">
        <x:v>2</x:v>
      </x:c>
      <x:c r="D6" s="10">
        <x:v>2</x:v>
      </x:c>
      <x:c r="E6" s="10">
        <x:v>2</x:v>
      </x:c>
      <x:c r="F6" s="10">
        <x:v>0</x:v>
      </x:c>
      <x:c r="G6" s="10">
        <x:v>6</x:v>
      </x:c>
      <x:c r="H6" s="9" t="s">
        <x:v>24</x:v>
      </x:c>
      <x:c r="I6" s="11">
        <x:v>13</x:v>
      </x:c>
      <x:c r="J6" s="11">
        <x:v>15</x:v>
      </x:c>
      <x:c r="K6" s="12">
        <x:v>19</x:v>
      </x:c>
      <x:c r="L6" s="12">
        <x:v>0</x:v>
      </x:c>
      <x:c r="M6" s="13" t="n">
        <x:f>IF(COUNTA(I6:L6)=0,"",ROUND(C6*I6+D6*J6+E6*K6+F6*L6,2))</x:f>
        <x:v>94</x:v>
      </x:c>
      <x:c r="N6" s="14" t="n">
        <x:f t="shared" ref="N6:N31" si="1">M6*0.8</x:f>
        <x:v>75.2</x:v>
      </x:c>
      <x:c r="O6" s="15" t="str">
        <x:v>12" option applies to this frame type.</x:v>
      </x:c>
      <x:c r="P6" s="16" t="s">
        <x:v>25</x:v>
      </x:c>
      <x:c r="Q6" s="16" t="s">
        <x:v>26</x:v>
      </x:c>
      <x:c r="R6">
        <x:v>8</x:v>
      </x:c>
      <x:c r="S6" t="s">
        <x:v>25</x:v>
      </x:c>
      <x:c r="T6" t="s">
        <x:v>21</x:v>
      </x:c>
    </x:row>
    <x:row r="7" ht="24" customHeight="1">
      <x:c r="A7" s="9" t="s">
        <x:v>20</x:v>
      </x:c>
      <x:c r="B7" s="9" t="s">
        <x:v>21</x:v>
      </x:c>
      <x:c r="C7" s="10">
        <x:v>2</x:v>
      </x:c>
      <x:c r="D7" s="10">
        <x:v>2</x:v>
      </x:c>
      <x:c r="E7" s="10">
        <x:v>2</x:v>
      </x:c>
      <x:c r="F7" s="10">
        <x:v>0</x:v>
      </x:c>
      <x:c r="G7" s="10">
        <x:v>6</x:v>
      </x:c>
      <x:c r="H7" s="9" t="s">
        <x:v>27</x:v>
      </x:c>
      <x:c r="I7" s="11">
        <x:v>13</x:v>
      </x:c>
      <x:c r="J7" s="11">
        <x:v>15</x:v>
      </x:c>
      <x:c r="K7" s="12">
        <x:v>19</x:v>
      </x:c>
      <x:c r="L7" s="12">
        <x:v>0</x:v>
      </x:c>
      <x:c r="M7" s="13" t="n">
        <x:f>IF(COUNTA(I7:L7)=0,"",ROUND(C7*I7+D7*J7+E7*K7+F7*L7,2))</x:f>
        <x:v>94</x:v>
      </x:c>
      <x:c r="N7" s="14">
        <x:f t="shared" si="1"/>
        <x:v>75.2</x:v>
      </x:c>
      <x:c r="O7" s="15" t="str">
        <x:v>12" option applies to this frame type.</x:v>
      </x:c>
      <x:c r="P7" s="16" t="s">
        <x:v>28</x:v>
      </x:c>
      <x:c r="Q7" s="17" t="s">
        <x:v>29</x:v>
      </x:c>
      <x:c r="R7">
        <x:v>10</x:v>
      </x:c>
      <x:c r="S7" t="s">
        <x:v>28</x:v>
      </x:c>
      <x:c r="T7" t="s">
        <x:v>30</x:v>
      </x:c>
    </x:row>
    <x:row r="8" ht="24" customHeight="1">
      <x:c r="A8" s="9" t="s">
        <x:v>20</x:v>
      </x:c>
      <x:c r="B8" s="9" t="s">
        <x:v>21</x:v>
      </x:c>
      <x:c r="C8" s="10">
        <x:v>2</x:v>
      </x:c>
      <x:c r="D8" s="10">
        <x:v>2</x:v>
      </x:c>
      <x:c r="E8" s="10">
        <x:v>2</x:v>
      </x:c>
      <x:c r="F8" s="10">
        <x:v>0</x:v>
      </x:c>
      <x:c r="G8" s="10">
        <x:v>6</x:v>
      </x:c>
      <x:c r="H8" s="9" t="s">
        <x:v>31</x:v>
      </x:c>
      <x:c r="I8" s="11">
        <x:v>13</x:v>
      </x:c>
      <x:c r="J8" s="11">
        <x:v>15</x:v>
      </x:c>
      <x:c r="K8" s="12">
        <x:v>19</x:v>
      </x:c>
      <x:c r="L8" s="12">
        <x:v>0</x:v>
      </x:c>
      <x:c r="M8" s="13" t="n">
        <x:f>IF(COUNTA(I8:L8)=0,"",ROUND(C8*I8+D8*J8+E8*K8+F8*L8,2))</x:f>
        <x:v>94</x:v>
      </x:c>
      <x:c r="N8" s="14">
        <x:f t="shared" si="1"/>
        <x:v>75.2</x:v>
      </x:c>
      <x:c r="O8" s="18" t="str">
        <x:v>12" option applies to this frame type.</x:v>
      </x:c>
    </x:row>
    <x:row r="9" ht="24" customHeight="1">
      <x:c r="A9" s="9" t="s">
        <x:v>20</x:v>
      </x:c>
      <x:c r="B9" s="9" t="s">
        <x:v>21</x:v>
      </x:c>
      <x:c r="C9" s="10">
        <x:v>2</x:v>
      </x:c>
      <x:c r="D9" s="10">
        <x:v>2</x:v>
      </x:c>
      <x:c r="E9" s="10">
        <x:v>2</x:v>
      </x:c>
      <x:c r="F9" s="10">
        <x:v>0</x:v>
      </x:c>
      <x:c r="G9" s="10">
        <x:v>6</x:v>
      </x:c>
      <x:c r="H9" s="9" t="s">
        <x:v>32</x:v>
      </x:c>
      <x:c r="I9" s="11">
        <x:v>24</x:v>
      </x:c>
      <x:c r="J9" s="11">
        <x:v>28</x:v>
      </x:c>
      <x:c r="K9" s="12">
        <x:v>34</x:v>
      </x:c>
      <x:c r="L9" s="12">
        <x:v>0</x:v>
      </x:c>
      <x:c r="M9" s="13" t="n">
        <x:f>IF(COUNTA(I9:L9)=0,"",ROUND(C9*I9+D9*J9+E9*K9+F9*L9,2))</x:f>
        <x:v>172</x:v>
      </x:c>
      <x:c r="N9" s="14">
        <x:f t="shared" si="1"/>
        <x:v>137.6</x:v>
      </x:c>
      <x:c r="O9" s="19" t="str">
        <x:v>12" option applies to this frame type.</x:v>
      </x:c>
      <x:c r="P9" s="20"/>
      <x:c r="Q9" s="20" t="s">
        <x:v>33</x:v>
      </x:c>
    </x:row>
    <x:row r="10" ht="24" customHeight="1">
      <x:c r="A10" s="9" t="s">
        <x:v>20</x:v>
      </x:c>
      <x:c r="B10" s="9" t="s">
        <x:v>21</x:v>
      </x:c>
      <x:c r="C10" s="10">
        <x:v>2</x:v>
      </x:c>
      <x:c r="D10" s="10">
        <x:v>2</x:v>
      </x:c>
      <x:c r="E10" s="10">
        <x:v>0</x:v>
      </x:c>
      <x:c r="F10" s="10">
        <x:v>2</x:v>
      </x:c>
      <x:c r="G10" s="10">
        <x:v>6</x:v>
      </x:c>
      <x:c r="H10" s="9" t="s">
        <x:v>34</x:v>
      </x:c>
      <x:c r="I10" s="11">
        <x:v>20</x:v>
      </x:c>
      <x:c r="J10" s="11">
        <x:v>26</x:v>
      </x:c>
      <x:c r="K10" s="12">
        <x:v>0</x:v>
      </x:c>
      <x:c r="L10" s="12">
        <x:v>34</x:v>
      </x:c>
      <x:c r="M10" s="13" t="n">
        <x:f>IF(COUNTA(I10:L10)=0,"",ROUND(C10*I10+D10*J10+E10*K10+F10*L10,2))</x:f>
        <x:v>160</x:v>
      </x:c>
      <x:c r="N10" s="14">
        <x:f t="shared" si="1"/>
        <x:v>73.6</x:v>
      </x:c>
      <x:c r="O10" s="18" t="str">
        <x:v>A4 replaces the 12" option for this frame type.</x:v>
      </x:c>
    </x:row>
    <x:row r="11" ht="24" customHeight="1">
      <x:c r="A11" s="9" t="s">
        <x:v>20</x:v>
      </x:c>
      <x:c r="B11" s="9" t="s">
        <x:v>21</x:v>
      </x:c>
      <x:c r="C11" s="10">
        <x:v>2</x:v>
      </x:c>
      <x:c r="D11" s="10">
        <x:v>2</x:v>
      </x:c>
      <x:c r="E11" s="10">
        <x:v>0</x:v>
      </x:c>
      <x:c r="F11" s="10">
        <x:v>2</x:v>
      </x:c>
      <x:c r="G11" s="10">
        <x:v>6</x:v>
      </x:c>
      <x:c r="H11" s="9" t="s">
        <x:v>35</x:v>
      </x:c>
      <x:c r="I11" s="11">
        <x:v>18</x:v>
      </x:c>
      <x:c r="J11" s="11">
        <x:v>26</x:v>
      </x:c>
      <x:c r="K11" s="12">
        <x:v>0</x:v>
      </x:c>
      <x:c r="L11" s="12">
        <x:v>30</x:v>
      </x:c>
      <x:c r="M11" s="13" t="n">
        <x:f>IF(COUNTA(I11:L11)=0,"",ROUND(C11*I11+D11*J11+E11*K11+F11*L11,2))</x:f>
        <x:v>148</x:v>
      </x:c>
      <x:c r="N11" s="14">
        <x:f t="shared" si="1"/>
        <x:v>70.4</x:v>
      </x:c>
      <x:c r="O11" s="18" t="str">
        <x:v>A4 replaces the 12" option for this frame type.</x:v>
      </x:c>
    </x:row>
    <x:row r="12" ht="24" customHeight="1">
      <x:c r="A12" s="9" t="s">
        <x:v>20</x:v>
      </x:c>
      <x:c r="B12" s="9" t="s">
        <x:v>21</x:v>
      </x:c>
      <x:c r="C12" s="10">
        <x:v>2</x:v>
      </x:c>
      <x:c r="D12" s="10">
        <x:v>2</x:v>
      </x:c>
      <x:c r="E12" s="10">
        <x:v>0</x:v>
      </x:c>
      <x:c r="F12" s="10">
        <x:v>2</x:v>
      </x:c>
      <x:c r="G12" s="10">
        <x:v>6</x:v>
      </x:c>
      <x:c r="H12" s="9" t="s">
        <x:v>36</x:v>
      </x:c>
      <x:c r="I12" s="11">
        <x:v>18</x:v>
      </x:c>
      <x:c r="J12" s="11">
        <x:v>26</x:v>
      </x:c>
      <x:c r="K12" s="12">
        <x:v>0</x:v>
      </x:c>
      <x:c r="L12" s="12">
        <x:v>30</x:v>
      </x:c>
      <x:c r="M12" s="13" t="n">
        <x:f>IF(COUNTA(I12:L12)=0,"",ROUND(C12*I12+D12*J12+E12*K12+F12*L12,2))</x:f>
        <x:v>148</x:v>
      </x:c>
      <x:c r="N12" s="14">
        <x:f t="shared" si="1"/>
        <x:v>70.4</x:v>
      </x:c>
      <x:c r="O12" s="18" t="str">
        <x:v>A4 replaces the 12" option for this frame type.</x:v>
      </x:c>
    </x:row>
    <x:row r="13" ht="24" customHeight="1">
      <x:c r="A13" s="9" t="s">
        <x:v>20</x:v>
      </x:c>
      <x:c r="B13" s="9" t="s">
        <x:v>21</x:v>
      </x:c>
      <x:c r="C13" s="10">
        <x:v>2</x:v>
      </x:c>
      <x:c r="D13" s="10">
        <x:v>2</x:v>
      </x:c>
      <x:c r="E13" s="10">
        <x:v>0</x:v>
      </x:c>
      <x:c r="F13" s="10">
        <x:v>2</x:v>
      </x:c>
      <x:c r="G13" s="10">
        <x:v>6</x:v>
      </x:c>
      <x:c r="H13" s="9" t="s">
        <x:v>37</x:v>
      </x:c>
      <x:c r="I13" s="11">
        <x:v>18</x:v>
      </x:c>
      <x:c r="J13" s="11">
        <x:v>26</x:v>
      </x:c>
      <x:c r="K13" s="12">
        <x:v>0</x:v>
      </x:c>
      <x:c r="L13" s="12">
        <x:v>30</x:v>
      </x:c>
      <x:c r="M13" s="13" t="n">
        <x:f>IF(COUNTA(I13:L13)=0,"",ROUND(C13*I13+D13*J13+E13*K13+F13*L13,2))</x:f>
        <x:v>148</x:v>
      </x:c>
      <x:c r="N13" s="14">
        <x:f t="shared" si="1"/>
        <x:v>70.4</x:v>
      </x:c>
      <x:c r="O13" s="18" t="str">
        <x:v>A4 replaces the 12" option for this frame type.</x:v>
      </x:c>
    </x:row>
    <x:row r="14" ht="24" customHeight="1">
      <x:c r="A14" s="9" t="s">
        <x:v>26</x:v>
      </x:c>
      <x:c r="B14" s="9" t="s">
        <x:v>21</x:v>
      </x:c>
      <x:c r="C14" s="10">
        <x:v>4</x:v>
      </x:c>
      <x:c r="D14" s="10">
        <x:v>2</x:v>
      </x:c>
      <x:c r="E14" s="10">
        <x:v>2</x:v>
      </x:c>
      <x:c r="F14" s="10">
        <x:v>0</x:v>
      </x:c>
      <x:c r="G14" s="10">
        <x:v>8</x:v>
      </x:c>
      <x:c r="H14" s="9" t="s">
        <x:v>22</x:v>
      </x:c>
      <x:c r="I14" s="11">
        <x:v>13</x:v>
      </x:c>
      <x:c r="J14" s="11">
        <x:v>18</x:v>
      </x:c>
      <x:c r="K14" s="12">
        <x:v>20</x:v>
      </x:c>
      <x:c r="L14" s="12">
        <x:v>0</x:v>
      </x:c>
      <x:c r="M14" s="13" t="n">
        <x:f>IF(COUNTA(I14:L14)=0,"",ROUND(C14*I14+D14*J14+E14*K14+F14*L14,2))</x:f>
        <x:v>128</x:v>
      </x:c>
      <x:c r="N14" s="14">
        <x:f t="shared" si="1"/>
        <x:v>102.4</x:v>
      </x:c>
      <x:c r="O14" s="18" t="str">
        <x:v>12" option applies to this frame type.</x:v>
      </x:c>
    </x:row>
    <x:row r="15" ht="24" customHeight="1">
      <x:c r="A15" s="9" t="s">
        <x:v>26</x:v>
      </x:c>
      <x:c r="B15" s="9" t="s">
        <x:v>21</x:v>
      </x:c>
      <x:c r="C15" s="10">
        <x:v>4</x:v>
      </x:c>
      <x:c r="D15" s="10">
        <x:v>2</x:v>
      </x:c>
      <x:c r="E15" s="10">
        <x:v>2</x:v>
      </x:c>
      <x:c r="F15" s="10">
        <x:v>0</x:v>
      </x:c>
      <x:c r="G15" s="10">
        <x:v>8</x:v>
      </x:c>
      <x:c r="H15" s="9" t="s">
        <x:v>24</x:v>
      </x:c>
      <x:c r="I15" s="11">
        <x:v>13</x:v>
      </x:c>
      <x:c r="J15" s="11">
        <x:v>15</x:v>
      </x:c>
      <x:c r="K15" s="12">
        <x:v>19</x:v>
      </x:c>
      <x:c r="L15" s="12">
        <x:v>0</x:v>
      </x:c>
      <x:c r="M15" s="13" t="n">
        <x:f>IF(COUNTA(I15:L15)=0,"",ROUND(C15*I15+D15*J15+E15*K15+F15*L15,2))</x:f>
        <x:v>120</x:v>
      </x:c>
      <x:c r="N15" s="14">
        <x:f t="shared" si="1"/>
        <x:v>96</x:v>
      </x:c>
      <x:c r="O15" s="18" t="str">
        <x:v>12" option applies to this frame type.</x:v>
      </x:c>
    </x:row>
    <x:row r="16" ht="24" customHeight="1">
      <x:c r="A16" s="9" t="s">
        <x:v>26</x:v>
      </x:c>
      <x:c r="B16" s="9" t="s">
        <x:v>21</x:v>
      </x:c>
      <x:c r="C16" s="10">
        <x:v>4</x:v>
      </x:c>
      <x:c r="D16" s="10">
        <x:v>2</x:v>
      </x:c>
      <x:c r="E16" s="10">
        <x:v>2</x:v>
      </x:c>
      <x:c r="F16" s="10">
        <x:v>0</x:v>
      </x:c>
      <x:c r="G16" s="10">
        <x:v>8</x:v>
      </x:c>
      <x:c r="H16" s="9" t="s">
        <x:v>27</x:v>
      </x:c>
      <x:c r="I16" s="11">
        <x:v>13</x:v>
      </x:c>
      <x:c r="J16" s="11">
        <x:v>15</x:v>
      </x:c>
      <x:c r="K16" s="12">
        <x:v>19</x:v>
      </x:c>
      <x:c r="L16" s="12">
        <x:v>0</x:v>
      </x:c>
      <x:c r="M16" s="13" t="n">
        <x:f>IF(COUNTA(I16:L16)=0,"",ROUND(C16*I16+D16*J16+E16*K16+F16*L16,2))</x:f>
        <x:v>120</x:v>
      </x:c>
      <x:c r="N16" s="14">
        <x:f t="shared" si="1"/>
        <x:v>96</x:v>
      </x:c>
      <x:c r="O16" s="18" t="str">
        <x:v>12" option applies to this frame type.</x:v>
      </x:c>
    </x:row>
    <x:row r="17" ht="24" customHeight="1">
      <x:c r="A17" s="9" t="s">
        <x:v>26</x:v>
      </x:c>
      <x:c r="B17" s="9" t="s">
        <x:v>21</x:v>
      </x:c>
      <x:c r="C17" s="10">
        <x:v>4</x:v>
      </x:c>
      <x:c r="D17" s="10">
        <x:v>2</x:v>
      </x:c>
      <x:c r="E17" s="10">
        <x:v>2</x:v>
      </x:c>
      <x:c r="F17" s="10">
        <x:v>0</x:v>
      </x:c>
      <x:c r="G17" s="10">
        <x:v>8</x:v>
      </x:c>
      <x:c r="H17" s="9" t="s">
        <x:v>31</x:v>
      </x:c>
      <x:c r="I17" s="11">
        <x:v>13</x:v>
      </x:c>
      <x:c r="J17" s="11">
        <x:v>15</x:v>
      </x:c>
      <x:c r="K17" s="12">
        <x:v>19</x:v>
      </x:c>
      <x:c r="L17" s="12">
        <x:v>0</x:v>
      </x:c>
      <x:c r="M17" s="13" t="n">
        <x:f>IF(COUNTA(I17:L17)=0,"",ROUND(C17*I17+D17*J17+E17*K17+F17*L17,2))</x:f>
        <x:v>120</x:v>
      </x:c>
      <x:c r="N17" s="14">
        <x:f t="shared" si="1"/>
        <x:v>96</x:v>
      </x:c>
      <x:c r="O17" s="18" t="str">
        <x:v>12" option applies to this frame type.</x:v>
      </x:c>
    </x:row>
    <x:row r="18" ht="24" customHeight="1">
      <x:c r="A18" s="9" t="s">
        <x:v>26</x:v>
      </x:c>
      <x:c r="B18" s="9" t="s">
        <x:v>21</x:v>
      </x:c>
      <x:c r="C18" s="10">
        <x:v>4</x:v>
      </x:c>
      <x:c r="D18" s="10">
        <x:v>2</x:v>
      </x:c>
      <x:c r="E18" s="10">
        <x:v>2</x:v>
      </x:c>
      <x:c r="F18" s="10">
        <x:v>0</x:v>
      </x:c>
      <x:c r="G18" s="10">
        <x:v>8</x:v>
      </x:c>
      <x:c r="H18" s="9" t="s">
        <x:v>32</x:v>
      </x:c>
      <x:c r="I18" s="11">
        <x:v>24</x:v>
      </x:c>
      <x:c r="J18" s="11">
        <x:v>28</x:v>
      </x:c>
      <x:c r="K18" s="12">
        <x:v>34</x:v>
      </x:c>
      <x:c r="L18" s="12">
        <x:v>0</x:v>
      </x:c>
      <x:c r="M18" s="13" t="n">
        <x:f>IF(COUNTA(I18:L18)=0,"",ROUND(C18*I18+D18*J18+E18*K18+F18*L18,2))</x:f>
        <x:v>220</x:v>
      </x:c>
      <x:c r="N18" s="14">
        <x:f t="shared" si="1"/>
        <x:v>176</x:v>
      </x:c>
      <x:c r="O18" s="18" t="str">
        <x:v>12" option applies to this frame type.</x:v>
      </x:c>
    </x:row>
    <x:row r="19" ht="24" customHeight="1">
      <x:c r="A19" s="9" t="s">
        <x:v>26</x:v>
      </x:c>
      <x:c r="B19" s="9" t="s">
        <x:v>21</x:v>
      </x:c>
      <x:c r="C19" s="10">
        <x:v>4</x:v>
      </x:c>
      <x:c r="D19" s="10">
        <x:v>2</x:v>
      </x:c>
      <x:c r="E19" s="10">
        <x:v>0</x:v>
      </x:c>
      <x:c r="F19" s="10">
        <x:v>2</x:v>
      </x:c>
      <x:c r="G19" s="10">
        <x:v>8</x:v>
      </x:c>
      <x:c r="H19" s="9" t="s">
        <x:v>34</x:v>
      </x:c>
      <x:c r="I19" s="11">
        <x:v>20</x:v>
      </x:c>
      <x:c r="J19" s="11">
        <x:v>26</x:v>
      </x:c>
      <x:c r="K19" s="12">
        <x:v>0</x:v>
      </x:c>
      <x:c r="L19" s="12">
        <x:v>34</x:v>
      </x:c>
      <x:c r="M19" s="13" t="n">
        <x:f>IF(COUNTA(I19:L19)=0,"",ROUND(C19*I19+D19*J19+E19*K19+F19*L19,2))</x:f>
        <x:v>200</x:v>
      </x:c>
      <x:c r="N19" s="14">
        <x:f t="shared" si="1"/>
        <x:v>105.6</x:v>
      </x:c>
      <x:c r="O19" s="18" t="str">
        <x:v>A4 replaces the 12" option for this frame type.</x:v>
      </x:c>
    </x:row>
    <x:row r="20" ht="24" customHeight="1">
      <x:c r="A20" s="9" t="s">
        <x:v>26</x:v>
      </x:c>
      <x:c r="B20" s="9" t="s">
        <x:v>21</x:v>
      </x:c>
      <x:c r="C20" s="10">
        <x:v>4</x:v>
      </x:c>
      <x:c r="D20" s="10">
        <x:v>2</x:v>
      </x:c>
      <x:c r="E20" s="10">
        <x:v>0</x:v>
      </x:c>
      <x:c r="F20" s="10">
        <x:v>2</x:v>
      </x:c>
      <x:c r="G20" s="10">
        <x:v>8</x:v>
      </x:c>
      <x:c r="H20" s="9" t="s">
        <x:v>35</x:v>
      </x:c>
      <x:c r="I20" s="11">
        <x:v>18</x:v>
      </x:c>
      <x:c r="J20" s="11">
        <x:v>26</x:v>
      </x:c>
      <x:c r="K20" s="12">
        <x:v>0</x:v>
      </x:c>
      <x:c r="L20" s="12">
        <x:v>30</x:v>
      </x:c>
      <x:c r="M20" s="13" t="n">
        <x:f>IF(COUNTA(I20:L20)=0,"",ROUND(C20*I20+D20*J20+E20*K20+F20*L20,2))</x:f>
        <x:v>184</x:v>
      </x:c>
      <x:c r="N20" s="14">
        <x:f t="shared" si="1"/>
        <x:v>99.2</x:v>
      </x:c>
      <x:c r="O20" s="18" t="str">
        <x:v>A4 replaces the 12" option for this frame type.</x:v>
      </x:c>
    </x:row>
    <x:row r="21" ht="24" customHeight="1">
      <x:c r="A21" s="9" t="s">
        <x:v>26</x:v>
      </x:c>
      <x:c r="B21" s="9" t="s">
        <x:v>21</x:v>
      </x:c>
      <x:c r="C21" s="10">
        <x:v>4</x:v>
      </x:c>
      <x:c r="D21" s="10">
        <x:v>2</x:v>
      </x:c>
      <x:c r="E21" s="10">
        <x:v>0</x:v>
      </x:c>
      <x:c r="F21" s="10">
        <x:v>2</x:v>
      </x:c>
      <x:c r="G21" s="10">
        <x:v>8</x:v>
      </x:c>
      <x:c r="H21" s="9" t="s">
        <x:v>36</x:v>
      </x:c>
      <x:c r="I21" s="11">
        <x:v>18</x:v>
      </x:c>
      <x:c r="J21" s="11">
        <x:v>26</x:v>
      </x:c>
      <x:c r="K21" s="12">
        <x:v>0</x:v>
      </x:c>
      <x:c r="L21" s="12">
        <x:v>30</x:v>
      </x:c>
      <x:c r="M21" s="13" t="n">
        <x:f>IF(COUNTA(I21:L21)=0,"",ROUND(C21*I21+D21*J21+E21*K21+F21*L21,2))</x:f>
        <x:v>184</x:v>
      </x:c>
      <x:c r="N21" s="14">
        <x:f t="shared" si="1"/>
        <x:v>99.2</x:v>
      </x:c>
      <x:c r="O21" s="18" t="str">
        <x:v>A4 replaces the 12" option for this frame type.</x:v>
      </x:c>
    </x:row>
    <x:row r="22" ht="24" customHeight="1">
      <x:c r="A22" s="9" t="s">
        <x:v>26</x:v>
      </x:c>
      <x:c r="B22" s="9" t="s">
        <x:v>21</x:v>
      </x:c>
      <x:c r="C22" s="10">
        <x:v>4</x:v>
      </x:c>
      <x:c r="D22" s="10">
        <x:v>2</x:v>
      </x:c>
      <x:c r="E22" s="10">
        <x:v>0</x:v>
      </x:c>
      <x:c r="F22" s="10">
        <x:v>2</x:v>
      </x:c>
      <x:c r="G22" s="10">
        <x:v>8</x:v>
      </x:c>
      <x:c r="H22" s="9" t="s">
        <x:v>37</x:v>
      </x:c>
      <x:c r="I22" s="11">
        <x:v>18</x:v>
      </x:c>
      <x:c r="J22" s="11">
        <x:v>26</x:v>
      </x:c>
      <x:c r="K22" s="12">
        <x:v>0</x:v>
      </x:c>
      <x:c r="L22" s="12">
        <x:v>30</x:v>
      </x:c>
      <x:c r="M22" s="13" t="n">
        <x:f>IF(COUNTA(I22:L22)=0,"",ROUND(C22*I22+D22*J22+E22*K22+F22*L22,2))</x:f>
        <x:v>184</x:v>
      </x:c>
      <x:c r="N22" s="14">
        <x:f t="shared" si="1"/>
        <x:v>99.2</x:v>
      </x:c>
      <x:c r="O22" s="18" t="str">
        <x:v>A4 replaces the 12" option for this frame type.</x:v>
      </x:c>
    </x:row>
    <x:row r="23" ht="24" customHeight="1">
      <x:c r="A23" s="9" t="s">
        <x:v>29</x:v>
      </x:c>
      <x:c r="B23" s="21" t="s">
        <x:v>30</x:v>
      </x:c>
      <x:c r="C23" s="10">
        <x:v>6</x:v>
      </x:c>
      <x:c r="D23" s="10">
        <x:v>2</x:v>
      </x:c>
      <x:c r="E23" s="10">
        <x:v>2</x:v>
      </x:c>
      <x:c r="F23" s="10">
        <x:v>0</x:v>
      </x:c>
      <x:c r="G23" s="10">
        <x:v>10</x:v>
      </x:c>
      <x:c r="H23" s="9" t="s">
        <x:v>22</x:v>
      </x:c>
      <x:c r="I23" s="11">
        <x:v>13</x:v>
      </x:c>
      <x:c r="J23" s="11">
        <x:v>18</x:v>
      </x:c>
      <x:c r="K23" s="12">
        <x:v>20</x:v>
      </x:c>
      <x:c r="L23" s="12">
        <x:v>0</x:v>
      </x:c>
      <x:c r="M23" s="13" t="n">
        <x:f>IF(COUNTA(I23:L23)=0,"",ROUND(C23*I23+D23*J23+E23*K23+F23*L23,2))</x:f>
        <x:v>154</x:v>
      </x:c>
      <x:c r="N23" s="14">
        <x:f t="shared" si="1"/>
        <x:v>123.2</x:v>
      </x:c>
      <x:c r="O23" s="18" t="str">
        <x:v>12" option applies to this frame type.</x:v>
      </x:c>
    </x:row>
    <x:row r="24" ht="24" customHeight="1">
      <x:c r="A24" s="9" t="s">
        <x:v>29</x:v>
      </x:c>
      <x:c r="B24" s="21" t="s">
        <x:v>30</x:v>
      </x:c>
      <x:c r="C24" s="10">
        <x:v>6</x:v>
      </x:c>
      <x:c r="D24" s="10">
        <x:v>2</x:v>
      </x:c>
      <x:c r="E24" s="10">
        <x:v>2</x:v>
      </x:c>
      <x:c r="F24" s="10">
        <x:v>0</x:v>
      </x:c>
      <x:c r="G24" s="10">
        <x:v>10</x:v>
      </x:c>
      <x:c r="H24" s="9" t="s">
        <x:v>24</x:v>
      </x:c>
      <x:c r="I24" s="11">
        <x:v>13</x:v>
      </x:c>
      <x:c r="J24" s="11">
        <x:v>15</x:v>
      </x:c>
      <x:c r="K24" s="12">
        <x:v>19</x:v>
      </x:c>
      <x:c r="L24" s="12">
        <x:v>0</x:v>
      </x:c>
      <x:c r="M24" s="13" t="n">
        <x:f>IF(COUNTA(I24:L24)=0,"",ROUND(C24*I24+D24*J24+E24*K24+F24*L24,2))</x:f>
        <x:v>146</x:v>
      </x:c>
      <x:c r="N24" s="14">
        <x:f t="shared" si="1"/>
        <x:v>116.8</x:v>
      </x:c>
      <x:c r="O24" s="18" t="str">
        <x:v>12" option applies to this frame type.</x:v>
      </x:c>
    </x:row>
    <x:row r="25" ht="24" customHeight="1">
      <x:c r="A25" s="9" t="s">
        <x:v>29</x:v>
      </x:c>
      <x:c r="B25" s="21" t="s">
        <x:v>30</x:v>
      </x:c>
      <x:c r="C25" s="10">
        <x:v>6</x:v>
      </x:c>
      <x:c r="D25" s="10">
        <x:v>2</x:v>
      </x:c>
      <x:c r="E25" s="10">
        <x:v>2</x:v>
      </x:c>
      <x:c r="F25" s="10">
        <x:v>0</x:v>
      </x:c>
      <x:c r="G25" s="10">
        <x:v>10</x:v>
      </x:c>
      <x:c r="H25" s="9" t="s">
        <x:v>27</x:v>
      </x:c>
      <x:c r="I25" s="11">
        <x:v>13</x:v>
      </x:c>
      <x:c r="J25" s="11">
        <x:v>15</x:v>
      </x:c>
      <x:c r="K25" s="12">
        <x:v>19</x:v>
      </x:c>
      <x:c r="L25" s="12">
        <x:v>0</x:v>
      </x:c>
      <x:c r="M25" s="13" t="n">
        <x:f>IF(COUNTA(I25:L25)=0,"",ROUND(C25*I25+D25*J25+E25*K25+F25*L25,2))</x:f>
        <x:v>146</x:v>
      </x:c>
      <x:c r="N25" s="14">
        <x:f t="shared" si="1"/>
        <x:v>116.8</x:v>
      </x:c>
      <x:c r="O25" s="18" t="str">
        <x:v>12" option applies to this frame type.</x:v>
      </x:c>
    </x:row>
    <x:row r="26" ht="24" customHeight="1">
      <x:c r="A26" s="9" t="s">
        <x:v>29</x:v>
      </x:c>
      <x:c r="B26" s="21" t="s">
        <x:v>30</x:v>
      </x:c>
      <x:c r="C26" s="10">
        <x:v>6</x:v>
      </x:c>
      <x:c r="D26" s="10">
        <x:v>2</x:v>
      </x:c>
      <x:c r="E26" s="10">
        <x:v>2</x:v>
      </x:c>
      <x:c r="F26" s="10">
        <x:v>0</x:v>
      </x:c>
      <x:c r="G26" s="10">
        <x:v>10</x:v>
      </x:c>
      <x:c r="H26" s="9" t="s">
        <x:v>31</x:v>
      </x:c>
      <x:c r="I26" s="11">
        <x:v>13</x:v>
      </x:c>
      <x:c r="J26" s="11">
        <x:v>15</x:v>
      </x:c>
      <x:c r="K26" s="12">
        <x:v>19</x:v>
      </x:c>
      <x:c r="L26" s="12">
        <x:v>0</x:v>
      </x:c>
      <x:c r="M26" s="13" t="n">
        <x:f>IF(COUNTA(I26:L26)=0,"",ROUND(C26*I26+D26*J26+E26*K26+F26*L26,2))</x:f>
        <x:v>146</x:v>
      </x:c>
      <x:c r="N26" s="14">
        <x:f t="shared" si="1"/>
        <x:v>116.8</x:v>
      </x:c>
      <x:c r="O26" s="18" t="str">
        <x:v>12" option applies to this frame type.</x:v>
      </x:c>
    </x:row>
    <x:row r="27" ht="24" customHeight="1">
      <x:c r="A27" s="9" t="s">
        <x:v>29</x:v>
      </x:c>
      <x:c r="B27" s="21" t="s">
        <x:v>30</x:v>
      </x:c>
      <x:c r="C27" s="10">
        <x:v>6</x:v>
      </x:c>
      <x:c r="D27" s="10">
        <x:v>2</x:v>
      </x:c>
      <x:c r="E27" s="10">
        <x:v>2</x:v>
      </x:c>
      <x:c r="F27" s="10">
        <x:v>0</x:v>
      </x:c>
      <x:c r="G27" s="10">
        <x:v>10</x:v>
      </x:c>
      <x:c r="H27" s="9" t="s">
        <x:v>32</x:v>
      </x:c>
      <x:c r="I27" s="11">
        <x:v>24</x:v>
      </x:c>
      <x:c r="J27" s="11">
        <x:v>28</x:v>
      </x:c>
      <x:c r="K27" s="12">
        <x:v>34</x:v>
      </x:c>
      <x:c r="L27" s="12">
        <x:v>0</x:v>
      </x:c>
      <x:c r="M27" s="13" t="n">
        <x:f>IF(COUNTA(I27:L27)=0,"",ROUND(C27*I27+D27*J27+E27*K27+F27*L27,2))</x:f>
        <x:v>268</x:v>
      </x:c>
      <x:c r="N27" s="14">
        <x:f t="shared" si="1"/>
        <x:v>214.4</x:v>
      </x:c>
      <x:c r="O27" s="18" t="str">
        <x:v>12" option applies to this frame type.</x:v>
      </x:c>
    </x:row>
    <x:row r="28" ht="24" customHeight="1">
      <x:c r="A28" s="9" t="s">
        <x:v>29</x:v>
      </x:c>
      <x:c r="B28" s="21" t="s">
        <x:v>30</x:v>
      </x:c>
      <x:c r="C28" s="10">
        <x:v>6</x:v>
      </x:c>
      <x:c r="D28" s="10">
        <x:v>2</x:v>
      </x:c>
      <x:c r="E28" s="10">
        <x:v>0</x:v>
      </x:c>
      <x:c r="F28" s="10">
        <x:v>2</x:v>
      </x:c>
      <x:c r="G28" s="10">
        <x:v>10</x:v>
      </x:c>
      <x:c r="H28" s="9" t="s">
        <x:v>34</x:v>
      </x:c>
      <x:c r="I28" s="11">
        <x:v>20</x:v>
      </x:c>
      <x:c r="J28" s="11">
        <x:v>26</x:v>
      </x:c>
      <x:c r="K28" s="12">
        <x:v>0</x:v>
      </x:c>
      <x:c r="L28" s="12">
        <x:v>34</x:v>
      </x:c>
      <x:c r="M28" s="13" t="n">
        <x:f>IF(COUNTA(I28:L28)=0,"",ROUND(C28*I28+D28*J28+E28*K28+F28*L28,2))</x:f>
        <x:v>240</x:v>
      </x:c>
      <x:c r="N28" s="14">
        <x:f t="shared" si="1"/>
        <x:v>137.6</x:v>
      </x:c>
      <x:c r="O28" s="18" t="str">
        <x:v>A4 replaces the 12" option for this frame type.</x:v>
      </x:c>
    </x:row>
    <x:row r="29" ht="24" customHeight="1">
      <x:c r="A29" s="9" t="s">
        <x:v>29</x:v>
      </x:c>
      <x:c r="B29" s="21" t="s">
        <x:v>30</x:v>
      </x:c>
      <x:c r="C29" s="10">
        <x:v>6</x:v>
      </x:c>
      <x:c r="D29" s="10">
        <x:v>2</x:v>
      </x:c>
      <x:c r="E29" s="10">
        <x:v>0</x:v>
      </x:c>
      <x:c r="F29" s="10">
        <x:v>2</x:v>
      </x:c>
      <x:c r="G29" s="10">
        <x:v>10</x:v>
      </x:c>
      <x:c r="H29" s="9" t="s">
        <x:v>35</x:v>
      </x:c>
      <x:c r="I29" s="11">
        <x:v>18</x:v>
      </x:c>
      <x:c r="J29" s="11">
        <x:v>26</x:v>
      </x:c>
      <x:c r="K29" s="12">
        <x:v>0</x:v>
      </x:c>
      <x:c r="L29" s="12">
        <x:v>30</x:v>
      </x:c>
      <x:c r="M29" s="13" t="n">
        <x:f>IF(COUNTA(I29:L29)=0,"",ROUND(C29*I29+D29*J29+E29*K29+F29*L29,2))</x:f>
        <x:v>220</x:v>
      </x:c>
      <x:c r="N29" s="14">
        <x:f t="shared" si="1"/>
        <x:v>128</x:v>
      </x:c>
      <x:c r="O29" s="18" t="str">
        <x:v>A4 replaces the 12" option for this frame type.</x:v>
      </x:c>
    </x:row>
    <x:row r="30" ht="24" customHeight="1">
      <x:c r="A30" s="9" t="s">
        <x:v>29</x:v>
      </x:c>
      <x:c r="B30" s="21" t="s">
        <x:v>30</x:v>
      </x:c>
      <x:c r="C30" s="10">
        <x:v>6</x:v>
      </x:c>
      <x:c r="D30" s="10">
        <x:v>2</x:v>
      </x:c>
      <x:c r="E30" s="10">
        <x:v>0</x:v>
      </x:c>
      <x:c r="F30" s="10">
        <x:v>2</x:v>
      </x:c>
      <x:c r="G30" s="10">
        <x:v>10</x:v>
      </x:c>
      <x:c r="H30" s="9" t="s">
        <x:v>36</x:v>
      </x:c>
      <x:c r="I30" s="11">
        <x:v>18</x:v>
      </x:c>
      <x:c r="J30" s="11">
        <x:v>26</x:v>
      </x:c>
      <x:c r="K30" s="12">
        <x:v>0</x:v>
      </x:c>
      <x:c r="L30" s="12">
        <x:v>30</x:v>
      </x:c>
      <x:c r="M30" s="13" t="n">
        <x:f>IF(COUNTA(I30:L30)=0,"",ROUND(C30*I30+D30*J30+E30*K30+F30*L30,2))</x:f>
        <x:v>220</x:v>
      </x:c>
      <x:c r="N30" s="14">
        <x:f t="shared" si="1"/>
        <x:v>128</x:v>
      </x:c>
      <x:c r="O30" s="18" t="str">
        <x:v>A4 replaces the 12" option for this frame type.</x:v>
      </x:c>
    </x:row>
    <x:row r="31" ht="24" customHeight="1">
      <x:c r="A31" s="9" t="s">
        <x:v>29</x:v>
      </x:c>
      <x:c r="B31" s="21" t="s">
        <x:v>30</x:v>
      </x:c>
      <x:c r="C31" s="10">
        <x:v>6</x:v>
      </x:c>
      <x:c r="D31" s="10">
        <x:v>2</x:v>
      </x:c>
      <x:c r="E31" s="10">
        <x:v>0</x:v>
      </x:c>
      <x:c r="F31" s="10">
        <x:v>2</x:v>
      </x:c>
      <x:c r="G31" s="10">
        <x:v>10</x:v>
      </x:c>
      <x:c r="H31" s="9" t="s">
        <x:v>37</x:v>
      </x:c>
      <x:c r="I31" s="11">
        <x:v>18</x:v>
      </x:c>
      <x:c r="J31" s="11">
        <x:v>26</x:v>
      </x:c>
      <x:c r="K31" s="12">
        <x:v>0</x:v>
      </x:c>
      <x:c r="L31" s="12">
        <x:v>30</x:v>
      </x:c>
      <x:c r="M31" s="13" t="n">
        <x:f>IF(COUNTA(I31:L31)=0,"",ROUND(C31*I31+D31*J31+E31*K31+F31*L31,2))</x:f>
        <x:v>220</x:v>
      </x:c>
      <x:c r="N31" s="14">
        <x:f t="shared" si="1"/>
        <x:v>128</x:v>
      </x:c>
      <x:c r="O31" s="18" t="str">
        <x:v>A4 replaces the 12" option for this frame type.</x:v>
      </x:c>
    </x:row>
  </x:sheetData>
  <x:mergeCells>
    <x:mergeCell ref="A1:K1"/>
    <x:mergeCell ref="A2:K2"/>
  </x:mergeCells>
  <x:pageMargins left="0.7" right="0.7" top="0.75" bottom="0.75" header="0.3" footer="0.3"/>
</x:worksheet>
</file>