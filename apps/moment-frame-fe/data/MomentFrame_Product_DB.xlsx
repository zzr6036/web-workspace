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30240" windowHeight="13000" activeTab="2"/>
  </bookViews>
  <sheets>
    <sheet name="Read Me" sheetId="1" r:id="rId1"/>
    <sheet name="Categories" sheetId="2" r:id="rId2"/>
    <sheet name="Subcategories" sheetId="3" r:id="rId3"/>
    <sheet name="Products" sheetId="4" r:id="rId4"/>
    <sheet name="Images" sheetId="5" r:id="rId5"/>
    <sheet name="Price Rul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<sst xmlns="http://schemas.openxmlformats.org/spreadsheetml/2006/main" count="3965" uniqueCount="609">
  <si>
    <t>MomentFrame Product Database</t>
  </si>
  <si>
    <t>Manual product catalogue for website, pricing and image management.</t>
  </si>
  <si>
    <t>Step</t>
  </si>
  <si>
    <t>What to update</t>
  </si>
  <si>
    <t>1. Categories</t>
  </si>
  <si>
    <t>Only change the display order or name when the website categories change.</t>
  </si>
  <si>
    <t>2. Subcategories</t>
  </si>
  <si>
    <t>Add a child style under one category. Give it a unique Subcategory Key and a default Image SKU.</t>
  </si>
  <si>
    <t>3. Products</t>
  </si>
  <si>
    <t>Add one row for each size. Product SKU must stay unique. Yellow cells are manual inputs.</t>
  </si>
  <si>
    <t>4. Images</t>
  </si>
  <si>
    <t>Each product size has its own Image SKU. Duplicate a source image file when different sizes use the same visual.</t>
  </si>
  <si>
    <t>5. Price Rules</t>
  </si>
  <si>
    <t>Change the multiplier values only when the pricing policy changes.</t>
  </si>
  <si>
    <t>Categories</t>
  </si>
  <si>
    <t>The website uses Category Key for simple URLs and stable mapping.</t>
  </si>
  <si>
    <t>Category Code</t>
  </si>
  <si>
    <t>Category Key</t>
  </si>
  <si>
    <t>Category Name</t>
  </si>
  <si>
    <t>Display Order</t>
  </si>
  <si>
    <t>Status</t>
  </si>
  <si>
    <t>S1</t>
  </si>
  <si>
    <t>frameless</t>
  </si>
  <si>
    <t>Classic Frameless Photo Panel</t>
  </si>
  <si>
    <t>Active</t>
  </si>
  <si>
    <t>S2</t>
  </si>
  <si>
    <t>bordered</t>
  </si>
  <si>
    <t>Classic Bordered Frame</t>
  </si>
  <si>
    <t>S3</t>
  </si>
  <si>
    <t>signature</t>
  </si>
  <si>
    <t>Signature Wooden Frame</t>
  </si>
  <si>
    <t>S4</t>
  </si>
  <si>
    <t>gallery</t>
  </si>
  <si>
    <t>Gallery Wooden Frame</t>
  </si>
  <si>
    <t>Subcategories</t>
  </si>
  <si>
    <t>Each subcategory keeps Chinese and English names, and points to its default Image SKU.</t>
  </si>
  <si>
    <t>Subcategory Key</t>
  </si>
  <si>
    <t>Subcategory Name</t>
  </si>
  <si>
    <t>Default Image SKU</t>
  </si>
  <si>
    <t>中文名称</t>
  </si>
  <si>
    <t>English Name</t>
  </si>
  <si>
    <t>S1-T1</t>
  </si>
  <si>
    <t>无边框-圆角</t>
  </si>
  <si>
    <t>IMG-S1-T1-07-STAND</t>
  </si>
  <si>
    <t>Draft</t>
  </si>
  <si>
    <t>Frameless Rounded Corner</t>
  </si>
  <si>
    <t>S2-T1</t>
  </si>
  <si>
    <t>白色边框-圆角</t>
  </si>
  <si>
    <t>IMG-S2-T1-07-STAND</t>
  </si>
  <si>
    <t>White Rounded Border</t>
  </si>
  <si>
    <t>S2-T2</t>
  </si>
  <si>
    <t>金色边框-圆角</t>
  </si>
  <si>
    <t>IMG-S2-T2-07-STAND</t>
  </si>
  <si>
    <t>Gold Rounded Border</t>
  </si>
  <si>
    <t>S2-T3</t>
  </si>
  <si>
    <t>银色边框-圆角</t>
  </si>
  <si>
    <t>IMG-S2-T3-07-STAND</t>
  </si>
  <si>
    <t>Silver Rounded Border</t>
  </si>
  <si>
    <t>S2-T4</t>
  </si>
  <si>
    <t>黑色边框-圆角</t>
  </si>
  <si>
    <t>IMG-S2-T4-07-STAND</t>
  </si>
  <si>
    <t>Black Rounded Border</t>
  </si>
  <si>
    <t>S2-T5</t>
  </si>
  <si>
    <t>黑色边框-直角</t>
  </si>
  <si>
    <t>IMG-S2-T5-07-STAND</t>
  </si>
  <si>
    <t>Black Square Corner</t>
  </si>
  <si>
    <t>S2-T6</t>
  </si>
  <si>
    <t>黑色边框-金色</t>
  </si>
  <si>
    <t>IMG-S2-T6-07-STAND</t>
  </si>
  <si>
    <t>Black Frame with Gold Trim</t>
  </si>
  <si>
    <t>S4-T1</t>
  </si>
  <si>
    <t>三秋暖木</t>
  </si>
  <si>
    <t>IMG-S4-T1-24-WALL</t>
  </si>
  <si>
    <t>Autumn Warm Wood</t>
  </si>
  <si>
    <t>S4-T2</t>
  </si>
  <si>
    <t>亚麻灰</t>
  </si>
  <si>
    <t>IMG-S4-T2-24-WALL</t>
  </si>
  <si>
    <t>Linen Grey</t>
  </si>
  <si>
    <t>S4-T3</t>
  </si>
  <si>
    <t>微风雅框</t>
  </si>
  <si>
    <t>IMG-S4-T3-24-WALL</t>
  </si>
  <si>
    <t>Breeze Elegance</t>
  </si>
  <si>
    <t>S4-T4</t>
  </si>
  <si>
    <t>时光印记</t>
  </si>
  <si>
    <t>IMG-S4-T4-24-WALL</t>
  </si>
  <si>
    <t>Time Imprint</t>
  </si>
  <si>
    <t>S4-T5</t>
  </si>
  <si>
    <t>棕木诗韵</t>
  </si>
  <si>
    <t>IMG-S4-T5-24-WALL</t>
  </si>
  <si>
    <t>Walnut Poem</t>
  </si>
  <si>
    <t>S4-T6</t>
  </si>
  <si>
    <t>流砂金棕</t>
  </si>
  <si>
    <t>IMG-S4-T6-24-WALL</t>
  </si>
  <si>
    <t>Golden Sand Walnut</t>
  </si>
  <si>
    <t>S4-T7</t>
  </si>
  <si>
    <t>白月光系</t>
  </si>
  <si>
    <t>IMG-S4-T7-24-WALL</t>
  </si>
  <si>
    <t>Moonlight White</t>
  </si>
  <si>
    <t>S4-T8</t>
  </si>
  <si>
    <t>胡桃木纹</t>
  </si>
  <si>
    <t>IMG-S4-T8-24-WALL</t>
  </si>
  <si>
    <t>Walnut Grain</t>
  </si>
  <si>
    <t>S4-T9</t>
  </si>
  <si>
    <t>臻品银灰</t>
  </si>
  <si>
    <t>IMG-S4-T9-24-WALL</t>
  </si>
  <si>
    <t>Premium Silver Grey</t>
  </si>
  <si>
    <t>S4-T10</t>
  </si>
  <si>
    <t>莫奈窗台</t>
  </si>
  <si>
    <t>IMG-S4-T10-24-WALL</t>
  </si>
  <si>
    <t>Monet Window</t>
  </si>
  <si>
    <t>S4-T11</t>
  </si>
  <si>
    <t>象牙白</t>
  </si>
  <si>
    <t>IMG-S4-T11-24-WALL</t>
  </si>
  <si>
    <t>Ivory White</t>
  </si>
  <si>
    <t>S4-T12</t>
  </si>
  <si>
    <t>鎏金雅框</t>
  </si>
  <si>
    <t>IMG-S4-T12-24-WALL</t>
  </si>
  <si>
    <t>Gilded Elegance</t>
  </si>
  <si>
    <t>S4-T13</t>
  </si>
  <si>
    <t>韶华映框</t>
  </si>
  <si>
    <t>IMG-S4-T13-24-WALL</t>
  </si>
  <si>
    <t>Golden Years Frame</t>
  </si>
  <si>
    <t>S4-T14</t>
  </si>
  <si>
    <t>墨影时光</t>
  </si>
  <si>
    <t>IMG-S4-T14-24-WALL</t>
  </si>
  <si>
    <t>Ink Shadow Time</t>
  </si>
  <si>
    <t>S3-T1</t>
  </si>
  <si>
    <t>实木-复古胡桃色</t>
  </si>
  <si>
    <t>IMG-S3-T1-06-STAND</t>
  </si>
  <si>
    <t>Solid Wood - Vintage Walnut</t>
  </si>
  <si>
    <t>S3-T2</t>
  </si>
  <si>
    <t>实木-暖胡桃色</t>
  </si>
  <si>
    <t>IMG-S3-T2-06-STAND</t>
  </si>
  <si>
    <t>Solid Wood - Warm Walnut</t>
  </si>
  <si>
    <t>S3-T3</t>
  </si>
  <si>
    <t>清新浅麦色</t>
  </si>
  <si>
    <t>IMG-S3-T3-06-STAND</t>
  </si>
  <si>
    <t>Fresh Light Wheat</t>
  </si>
  <si>
    <t>S3-T4</t>
  </si>
  <si>
    <t>焦茶色</t>
  </si>
  <si>
    <t>IMG-S3-T4-06-STAND</t>
  </si>
  <si>
    <t>Roasted Tea</t>
  </si>
  <si>
    <t>S3-T5</t>
  </si>
  <si>
    <t>黑胡桃色</t>
  </si>
  <si>
    <t>IMG-S3-T5-06-STAND</t>
  </si>
  <si>
    <t>Black Walnut</t>
  </si>
  <si>
    <t>Products</t>
  </si>
  <si>
    <t>One row is one sellable size. Yellow cells are inputs. Markup and Selling Price (SGD) are calculated.</t>
  </si>
  <si>
    <t>Size</t>
  </si>
  <si>
    <t>Product Name 中文</t>
  </si>
  <si>
    <t>Product Name English</t>
  </si>
  <si>
    <t>Display Type</t>
  </si>
  <si>
    <t>Product SKU</t>
  </si>
  <si>
    <t>Legacy SKU</t>
  </si>
  <si>
    <t>Cost RMB</t>
  </si>
  <si>
    <t>Original Cost SGD</t>
  </si>
  <si>
    <t>Markup</t>
  </si>
  <si>
    <t>Selling Price (SGD)</t>
  </si>
  <si>
    <t>Image SKU</t>
  </si>
  <si>
    <t>Image Path</t>
  </si>
  <si>
    <t>Legacy Source Row</t>
  </si>
  <si>
    <t>Type</t>
  </si>
  <si>
    <t>Color</t>
  </si>
  <si>
    <t>Craftsmanship</t>
  </si>
  <si>
    <t>Photo Included</t>
  </si>
  <si>
    <t>Material</t>
  </si>
  <si>
    <t>Product Description</t>
  </si>
  <si>
    <t>7"</t>
  </si>
  <si>
    <t>Stand</t>
  </si>
  <si>
    <t>MFR-S1-T1-07-STAND</t>
  </si>
  <si>
    <t>S1-T1-SKUXXX-7</t>
  </si>
  <si>
    <t/>
  </si>
  <si>
    <t>Tabletop</t>
  </si>
  <si>
    <t>-</t>
  </si>
  <si>
    <t>8"</t>
  </si>
  <si>
    <t>MFR-S1-T1-08-STAND</t>
  </si>
  <si>
    <t>S1-T1-SKUXXX-8</t>
  </si>
  <si>
    <t>IMG-S1-T1-08-STAND</t>
  </si>
  <si>
    <t>10"</t>
  </si>
  <si>
    <t>MFR-S1-T1-10-STAND</t>
  </si>
  <si>
    <t>S1-T1-SKUXXX-9</t>
  </si>
  <si>
    <t>IMG-S1-T1-10-STAND</t>
  </si>
  <si>
    <t>12"</t>
  </si>
  <si>
    <t>MFR-S1-T1-12-STAND</t>
  </si>
  <si>
    <t>S1-T1-SKUXXX-10</t>
  </si>
  <si>
    <t>IMG-S1-T1-12-STAND</t>
  </si>
  <si>
    <t>14"</t>
  </si>
  <si>
    <t>MFR-S1-T1-14-STAND</t>
  </si>
  <si>
    <t>S1-T1-SKUXXX-11</t>
  </si>
  <si>
    <t>IMG-S1-T1-14-STAND</t>
  </si>
  <si>
    <t>16"</t>
  </si>
  <si>
    <t>Wall</t>
  </si>
  <si>
    <t>MFR-S1-T1-16-WALL</t>
  </si>
  <si>
    <t>S1-T1-SKUXXX-12</t>
  </si>
  <si>
    <t>IMG-S1-T1-16-WALL</t>
  </si>
  <si>
    <t>Wall-mounted</t>
  </si>
  <si>
    <t>18"</t>
  </si>
  <si>
    <t>MFR-S1-T1-18-WALL</t>
  </si>
  <si>
    <t>S1-T1-SKUXXX-13</t>
  </si>
  <si>
    <t>IMG-S1-T1-18-WALL</t>
  </si>
  <si>
    <t>20"</t>
  </si>
  <si>
    <t>MFR-S1-T1-20-WALL</t>
  </si>
  <si>
    <t>S1-T1-SKUXXX-14</t>
  </si>
  <si>
    <t>IMG-S1-T1-20-WALL</t>
  </si>
  <si>
    <t>24"</t>
  </si>
  <si>
    <t>MFR-S1-T1-24-WALL</t>
  </si>
  <si>
    <t>S1-T1-SKUXXX-15</t>
  </si>
  <si>
    <t>IMG-S1-T1-24-WALL</t>
  </si>
  <si>
    <t>30"</t>
  </si>
  <si>
    <t>MFR-S1-T1-30-WALL</t>
  </si>
  <si>
    <t>S1-T1-SKUXXX-16</t>
  </si>
  <si>
    <t>IMG-S1-T1-30-WALL</t>
  </si>
  <si>
    <t>32"</t>
  </si>
  <si>
    <t>MFR-S1-T1-32-WALL</t>
  </si>
  <si>
    <t>S1-T1-SKUXXX-17</t>
  </si>
  <si>
    <t>IMG-S1-T1-32-WALL</t>
  </si>
  <si>
    <t>36"</t>
  </si>
  <si>
    <t>MFR-S1-T1-36-WALL</t>
  </si>
  <si>
    <t>S1-T1-SKUXXX-18</t>
  </si>
  <si>
    <t>IMG-S1-T1-36-WALL</t>
  </si>
  <si>
    <t>40"</t>
  </si>
  <si>
    <t>MFR-S1-T1-40-WALL</t>
  </si>
  <si>
    <t>S1-T1-SKUXXX-19</t>
  </si>
  <si>
    <t>IMG-S1-T1-40-WALL</t>
  </si>
  <si>
    <t>48"</t>
  </si>
  <si>
    <t>MFR-S1-T1-48-WALL</t>
  </si>
  <si>
    <t>S1-T1-SKUXXX-20</t>
  </si>
  <si>
    <t>IMG-S1-T1-48-WALL</t>
  </si>
  <si>
    <t>MFR-S2-T1-07-STAND</t>
  </si>
  <si>
    <t>S1-T2-SKUXXX-7</t>
  </si>
  <si>
    <t>White</t>
  </si>
  <si>
    <t>MFR-S2-T1-08-STAND</t>
  </si>
  <si>
    <t>S1-T2-SKUXXX-8</t>
  </si>
  <si>
    <t>IMG-S2-T1-08-STAND</t>
  </si>
  <si>
    <t>MFR-S2-T1-10-STAND</t>
  </si>
  <si>
    <t>S1-T2-SKUXXX-9</t>
  </si>
  <si>
    <t>IMG-S2-T1-10-STAND</t>
  </si>
  <si>
    <t>MFR-S2-T1-12-STAND</t>
  </si>
  <si>
    <t>S1-T2-SKUXXX-10</t>
  </si>
  <si>
    <t>IMG-S2-T1-12-STAND</t>
  </si>
  <si>
    <t>MFR-S2-T1-14-STAND</t>
  </si>
  <si>
    <t>S1-T2-SKUXXX-11</t>
  </si>
  <si>
    <t>IMG-S2-T1-14-STAND</t>
  </si>
  <si>
    <t>MFR-S2-T1-16-WALL</t>
  </si>
  <si>
    <t>S1-T2-SKUXXX-12</t>
  </si>
  <si>
    <t>IMG-S2-T1-16-WALL</t>
  </si>
  <si>
    <t>MFR-S2-T1-18-WALL</t>
  </si>
  <si>
    <t>S1-T2-SKUXXX-13</t>
  </si>
  <si>
    <t>IMG-S2-T1-18-WALL</t>
  </si>
  <si>
    <t>MFR-S2-T1-20-WALL</t>
  </si>
  <si>
    <t>S1-T2-SKUXXX-14</t>
  </si>
  <si>
    <t>IMG-S2-T1-20-WALL</t>
  </si>
  <si>
    <t>MFR-S2-T1-24-WALL</t>
  </si>
  <si>
    <t>S1-T2-SKUXXX-15</t>
  </si>
  <si>
    <t>IMG-S2-T1-24-WALL</t>
  </si>
  <si>
    <t>MFR-S2-T1-30-WALL</t>
  </si>
  <si>
    <t>S1-T2-SKUXXX-16</t>
  </si>
  <si>
    <t>IMG-S2-T1-30-WALL</t>
  </si>
  <si>
    <t>MFR-S2-T1-32-WALL</t>
  </si>
  <si>
    <t>S1-T2-SKUXXX-17</t>
  </si>
  <si>
    <t>IMG-S2-T1-32-WALL</t>
  </si>
  <si>
    <t>MFR-S2-T1-36-WALL</t>
  </si>
  <si>
    <t>S1-T2-SKUXXX-18</t>
  </si>
  <si>
    <t>IMG-S2-T1-36-WALL</t>
  </si>
  <si>
    <t>MFR-S2-T1-40-WALL</t>
  </si>
  <si>
    <t>S1-T2-SKUXXX-19</t>
  </si>
  <si>
    <t>IMG-S2-T1-40-WALL</t>
  </si>
  <si>
    <t>MFR-S2-T1-48-WALL</t>
  </si>
  <si>
    <t>S1-T2-SKUXXX-20</t>
  </si>
  <si>
    <t>IMG-S2-T1-48-WALL</t>
  </si>
  <si>
    <t>MFR-S2-T2-07-STAND</t>
  </si>
  <si>
    <t>165</t>
  </si>
  <si>
    <t>Gold</t>
  </si>
  <si>
    <t>MFR-S2-T2-08-STAND</t>
  </si>
  <si>
    <t>IMG-S2-T2-08-STAND</t>
  </si>
  <si>
    <t>MFR-S2-T2-10-STAND</t>
  </si>
  <si>
    <t>IMG-S2-T2-10-STAND</t>
  </si>
  <si>
    <t>MFR-S2-T2-12-STAND</t>
  </si>
  <si>
    <t>IMG-S2-T2-12-STAND</t>
  </si>
  <si>
    <t>MFR-S2-T2-14-STAND</t>
  </si>
  <si>
    <t>IMG-S2-T2-14-STAND</t>
  </si>
  <si>
    <t>MFR-S2-T2-16-WALL</t>
  </si>
  <si>
    <t>IMG-S2-T2-16-WALL</t>
  </si>
  <si>
    <t>MFR-S2-T2-18-WALL</t>
  </si>
  <si>
    <t>IMG-S2-T2-18-WALL</t>
  </si>
  <si>
    <t>MFR-S2-T2-20-WALL</t>
  </si>
  <si>
    <t>IMG-S2-T2-20-WALL</t>
  </si>
  <si>
    <t>MFR-S2-T2-24-WALL</t>
  </si>
  <si>
    <t>IMG-S2-T2-24-WALL</t>
  </si>
  <si>
    <t>MFR-S2-T2-30-WALL</t>
  </si>
  <si>
    <t>IMG-S2-T2-30-WALL</t>
  </si>
  <si>
    <t>MFR-S2-T2-32-WALL</t>
  </si>
  <si>
    <t>IMG-S2-T2-32-WALL</t>
  </si>
  <si>
    <t>MFR-S2-T2-36-WALL</t>
  </si>
  <si>
    <t>IMG-S2-T2-36-WALL</t>
  </si>
  <si>
    <t>MFR-S2-T2-40-WALL</t>
  </si>
  <si>
    <t>IMG-S2-T2-40-WALL</t>
  </si>
  <si>
    <t>MFR-S2-T2-48-WALL</t>
  </si>
  <si>
    <t>IMG-S2-T2-48-WALL</t>
  </si>
  <si>
    <t>MFR-S2-T3-07-STAND</t>
  </si>
  <si>
    <t>Silver</t>
  </si>
  <si>
    <t>MFR-S2-T3-08-STAND</t>
  </si>
  <si>
    <t>IMG-S2-T3-08-STAND</t>
  </si>
  <si>
    <t>MFR-S2-T3-10-STAND</t>
  </si>
  <si>
    <t>IMG-S2-T3-10-STAND</t>
  </si>
  <si>
    <t>MFR-S2-T3-12-STAND</t>
  </si>
  <si>
    <t>IMG-S2-T3-12-STAND</t>
  </si>
  <si>
    <t>MFR-S2-T3-14-STAND</t>
  </si>
  <si>
    <t>IMG-S2-T3-14-STAND</t>
  </si>
  <si>
    <t>MFR-S2-T3-16-WALL</t>
  </si>
  <si>
    <t>IMG-S2-T3-16-WALL</t>
  </si>
  <si>
    <t>MFR-S2-T3-18-WALL</t>
  </si>
  <si>
    <t>IMG-S2-T3-18-WALL</t>
  </si>
  <si>
    <t>MFR-S2-T3-20-WALL</t>
  </si>
  <si>
    <t>IMG-S2-T3-20-WALL</t>
  </si>
  <si>
    <t>MFR-S2-T3-24-WALL</t>
  </si>
  <si>
    <t>IMG-S2-T3-24-WALL</t>
  </si>
  <si>
    <t>MFR-S2-T3-30-WALL</t>
  </si>
  <si>
    <t>IMG-S2-T3-30-WALL</t>
  </si>
  <si>
    <t>MFR-S2-T3-32-WALL</t>
  </si>
  <si>
    <t>IMG-S2-T3-32-WALL</t>
  </si>
  <si>
    <t>MFR-S2-T3-36-WALL</t>
  </si>
  <si>
    <t>IMG-S2-T3-36-WALL</t>
  </si>
  <si>
    <t>MFR-S2-T3-40-WALL</t>
  </si>
  <si>
    <t>IMG-S2-T3-40-WALL</t>
  </si>
  <si>
    <t>MFR-S2-T3-48-WALL</t>
  </si>
  <si>
    <t>IMG-S2-T3-48-WALL</t>
  </si>
  <si>
    <t>MFR-S2-T4-07-STAND</t>
  </si>
  <si>
    <t>Black</t>
  </si>
  <si>
    <t>MFR-S2-T4-08-STAND</t>
  </si>
  <si>
    <t>IMG-S2-T4-08-STAND</t>
  </si>
  <si>
    <t>MFR-S2-T4-10-STAND</t>
  </si>
  <si>
    <t>IMG-S2-T4-10-STAND</t>
  </si>
  <si>
    <t>MFR-S2-T4-12-STAND</t>
  </si>
  <si>
    <t>IMG-S2-T4-12-STAND</t>
  </si>
  <si>
    <t>MFR-S2-T4-14-STAND</t>
  </si>
  <si>
    <t>IMG-S2-T4-14-STAND</t>
  </si>
  <si>
    <t>MFR-S2-T4-16-WALL</t>
  </si>
  <si>
    <t>IMG-S2-T4-16-WALL</t>
  </si>
  <si>
    <t>MFR-S2-T4-18-WALL</t>
  </si>
  <si>
    <t>IMG-S2-T4-18-WALL</t>
  </si>
  <si>
    <t>MFR-S2-T4-20-WALL</t>
  </si>
  <si>
    <t>IMG-S2-T4-20-WALL</t>
  </si>
  <si>
    <t>MFR-S2-T4-24-WALL</t>
  </si>
  <si>
    <t>IMG-S2-T4-24-WALL</t>
  </si>
  <si>
    <t>MFR-S2-T4-30-WALL</t>
  </si>
  <si>
    <t>IMG-S2-T4-30-WALL</t>
  </si>
  <si>
    <t>MFR-S2-T4-32-WALL</t>
  </si>
  <si>
    <t>IMG-S2-T4-32-WALL</t>
  </si>
  <si>
    <t>MFR-S2-T4-36-WALL</t>
  </si>
  <si>
    <t>IMG-S2-T4-36-WALL</t>
  </si>
  <si>
    <t>MFR-S2-T4-40-WALL</t>
  </si>
  <si>
    <t>IMG-S2-T4-40-WALL</t>
  </si>
  <si>
    <t>MFR-S2-T4-48-WALL</t>
  </si>
  <si>
    <t>IMG-S2-T4-48-WALL</t>
  </si>
  <si>
    <t>MFR-S2-T5-07-STAND</t>
  </si>
  <si>
    <t>MFR-S2-T5-08-STAND</t>
  </si>
  <si>
    <t>IMG-S2-T5-08-STAND</t>
  </si>
  <si>
    <t>MFR-S2-T5-10-STAND</t>
  </si>
  <si>
    <t>IMG-S2-T5-10-STAND</t>
  </si>
  <si>
    <t>MFR-S2-T5-12-STAND</t>
  </si>
  <si>
    <t>IMG-S2-T5-12-STAND</t>
  </si>
  <si>
    <t>MFR-S2-T5-14-STAND</t>
  </si>
  <si>
    <t>IMG-S2-T5-14-STAND</t>
  </si>
  <si>
    <t>MFR-S2-T5-16-WALL</t>
  </si>
  <si>
    <t>IMG-S2-T5-16-WALL</t>
  </si>
  <si>
    <t>MFR-S2-T5-18-WALL</t>
  </si>
  <si>
    <t>IMG-S2-T5-18-WALL</t>
  </si>
  <si>
    <t>MFR-S2-T5-20-WALL</t>
  </si>
  <si>
    <t>IMG-S2-T5-20-WALL</t>
  </si>
  <si>
    <t>MFR-S2-T5-24-WALL</t>
  </si>
  <si>
    <t>IMG-S2-T5-24-WALL</t>
  </si>
  <si>
    <t>MFR-S2-T5-30-WALL</t>
  </si>
  <si>
    <t>IMG-S2-T5-30-WALL</t>
  </si>
  <si>
    <t>MFR-S2-T5-32-WALL</t>
  </si>
  <si>
    <t>IMG-S2-T5-32-WALL</t>
  </si>
  <si>
    <t>MFR-S2-T5-36-WALL</t>
  </si>
  <si>
    <t>IMG-S2-T5-36-WALL</t>
  </si>
  <si>
    <t>金色边框-直角</t>
  </si>
  <si>
    <t>MFR-S2-T6-07-STAND</t>
  </si>
  <si>
    <t>MFR-S2-T6-08-STAND</t>
  </si>
  <si>
    <t>IMG-S2-T6-08-STAND</t>
  </si>
  <si>
    <t>MFR-S2-T6-10-STAND</t>
  </si>
  <si>
    <t>IMG-S2-T6-10-STAND</t>
  </si>
  <si>
    <t>MFR-S2-T6-12-STAND</t>
  </si>
  <si>
    <t>IMG-S2-T6-12-STAND</t>
  </si>
  <si>
    <t>MFR-S2-T6-14-STAND</t>
  </si>
  <si>
    <t>IMG-S2-T6-14-STAND</t>
  </si>
  <si>
    <t>MFR-S2-T6-16-WALL</t>
  </si>
  <si>
    <t>IMG-S2-T6-16-WALL</t>
  </si>
  <si>
    <t>MFR-S2-T6-18-WALL</t>
  </si>
  <si>
    <t>IMG-S2-T6-18-WALL</t>
  </si>
  <si>
    <t>MFR-S2-T6-20-WALL</t>
  </si>
  <si>
    <t>IMG-S2-T6-20-WALL</t>
  </si>
  <si>
    <t>MFR-S2-T6-24-WALL</t>
  </si>
  <si>
    <t>IMG-S2-T6-24-WALL</t>
  </si>
  <si>
    <t>MFR-S2-T6-30-WALL</t>
  </si>
  <si>
    <t>IMG-S2-T6-30-WALL</t>
  </si>
  <si>
    <t>MFR-S2-T6-32-WALL</t>
  </si>
  <si>
    <t>IMG-S2-T6-32-WALL</t>
  </si>
  <si>
    <t>MFR-S2-T6-36-WALL</t>
  </si>
  <si>
    <t>IMG-S2-T6-36-WALL</t>
  </si>
  <si>
    <t>MFR-S4-T1-24-WALL</t>
  </si>
  <si>
    <t>Brown</t>
  </si>
  <si>
    <t>MFR-S4-T1-30-WALL</t>
  </si>
  <si>
    <t>IMG-S4-T1-30-WALL</t>
  </si>
  <si>
    <t>MFR-S4-T1-36-WALL</t>
  </si>
  <si>
    <t>IMG-S4-T1-36-WALL</t>
  </si>
  <si>
    <t>MFR-S4-T1-40-WALL</t>
  </si>
  <si>
    <t>IMG-S4-T1-40-WALL</t>
  </si>
  <si>
    <t>MFR-S4-T1-48-WALL</t>
  </si>
  <si>
    <t>IMG-S4-T1-48-WALL</t>
  </si>
  <si>
    <t>MFR-S4-T2-24-WALL</t>
  </si>
  <si>
    <t>Grey</t>
  </si>
  <si>
    <t>MFR-S4-T2-30-WALL</t>
  </si>
  <si>
    <t>IMG-S4-T2-30-WALL</t>
  </si>
  <si>
    <t>MFR-S4-T2-36-WALL</t>
  </si>
  <si>
    <t>IMG-S4-T2-36-WALL</t>
  </si>
  <si>
    <t>MFR-S4-T2-40-WALL</t>
  </si>
  <si>
    <t>IMG-S4-T2-40-WALL</t>
  </si>
  <si>
    <t>MFR-S4-T2-48-WALL</t>
  </si>
  <si>
    <t>IMG-S4-T2-48-WALL</t>
  </si>
  <si>
    <t>MFR-S4-T3-24-WALL</t>
  </si>
  <si>
    <t>Dark Brown</t>
  </si>
  <si>
    <t>MFR-S4-T3-30-WALL</t>
  </si>
  <si>
    <t>IMG-S4-T3-30-WALL</t>
  </si>
  <si>
    <t>MFR-S4-T3-36-WALL</t>
  </si>
  <si>
    <t>IMG-S4-T3-36-WALL</t>
  </si>
  <si>
    <t>MFR-S4-T3-40-WALL</t>
  </si>
  <si>
    <t>IMG-S4-T3-40-WALL</t>
  </si>
  <si>
    <t>MFR-S4-T3-48-WALL</t>
  </si>
  <si>
    <t>IMG-S4-T3-48-WALL</t>
  </si>
  <si>
    <t>MFR-S4-T4-24-WALL</t>
  </si>
  <si>
    <t>MFR-S4-T4-36-WALL</t>
  </si>
  <si>
    <t>IMG-S4-T4-36-WALL</t>
  </si>
  <si>
    <t>MFR-S4-T4-40-WALL</t>
  </si>
  <si>
    <t>IMG-S4-T4-40-WALL</t>
  </si>
  <si>
    <t>MFR-S4-T4-48-WALL</t>
  </si>
  <si>
    <t>IMG-S4-T4-48-WALL</t>
  </si>
  <si>
    <t>MFR-S4-T5-24-WALL</t>
  </si>
  <si>
    <t>MFR-S4-T5-30-WALL</t>
  </si>
  <si>
    <t>IMG-S4-T5-30-WALL</t>
  </si>
  <si>
    <t>MFR-S4-T5-36-WALL</t>
  </si>
  <si>
    <t>IMG-S4-T5-36-WALL</t>
  </si>
  <si>
    <t>MFR-S4-T5-40-WALL</t>
  </si>
  <si>
    <t>IMG-S4-T5-40-WALL</t>
  </si>
  <si>
    <t>MFR-S4-T5-48-WALL</t>
  </si>
  <si>
    <t>IMG-S4-T5-48-WALL</t>
  </si>
  <si>
    <t>MFR-S4-T6-24-WALL</t>
  </si>
  <si>
    <t>MFR-S4-T6-30-WALL</t>
  </si>
  <si>
    <t>IMG-S4-T6-30-WALL</t>
  </si>
  <si>
    <t>MFR-S4-T6-36-WALL</t>
  </si>
  <si>
    <t>IMG-S4-T6-36-WALL</t>
  </si>
  <si>
    <t>MFR-S4-T6-40-WALL</t>
  </si>
  <si>
    <t>IMG-S4-T6-40-WALL</t>
  </si>
  <si>
    <t>MFR-S4-T6-48-WALL</t>
  </si>
  <si>
    <t>IMG-S4-T6-48-WALL</t>
  </si>
  <si>
    <t>MFR-S4-T7-24-WALL</t>
  </si>
  <si>
    <t>MFR-S4-T7-30-WALL</t>
  </si>
  <si>
    <t>IMG-S4-T7-30-WALL</t>
  </si>
  <si>
    <t>MFR-S4-T7-36-WALL</t>
  </si>
  <si>
    <t>IMG-S4-T7-36-WALL</t>
  </si>
  <si>
    <t>MFR-S4-T7-40-WALL</t>
  </si>
  <si>
    <t>IMG-S4-T7-40-WALL</t>
  </si>
  <si>
    <t>MFR-S4-T7-48-WALL</t>
  </si>
  <si>
    <t>IMG-S4-T7-48-WALL</t>
  </si>
  <si>
    <t>MFR-S4-T8-24-WALL</t>
  </si>
  <si>
    <t>MFR-S4-T8-30-WALL</t>
  </si>
  <si>
    <t>IMG-S4-T8-30-WALL</t>
  </si>
  <si>
    <t>MFR-S4-T8-36-WALL</t>
  </si>
  <si>
    <t>IMG-S4-T8-36-WALL</t>
  </si>
  <si>
    <t>MFR-S4-T8-40-WALL</t>
  </si>
  <si>
    <t>IMG-S4-T8-40-WALL</t>
  </si>
  <si>
    <t>MFR-S4-T8-48-WALL</t>
  </si>
  <si>
    <t>IMG-S4-T8-48-WALL</t>
  </si>
  <si>
    <t>MFR-S4-T9-24-WALL</t>
  </si>
  <si>
    <t>MFR-S4-T9-30-WALL</t>
  </si>
  <si>
    <t>IMG-S4-T9-30-WALL</t>
  </si>
  <si>
    <t>MFR-S4-T9-36-WALL</t>
  </si>
  <si>
    <t>IMG-S4-T9-36-WALL</t>
  </si>
  <si>
    <t>MFR-S4-T9-40-WALL</t>
  </si>
  <si>
    <t>IMG-S4-T9-40-WALL</t>
  </si>
  <si>
    <t>MFR-S4-T9-48-WALL</t>
  </si>
  <si>
    <t>IMG-S4-T9-48-WALL</t>
  </si>
  <si>
    <t>MFR-S4-T10-24-WALL</t>
  </si>
  <si>
    <t>MFR-S4-T10-30-WALL</t>
  </si>
  <si>
    <t>IMG-S4-T10-30-WALL</t>
  </si>
  <si>
    <t>MFR-S4-T10-36-WALL</t>
  </si>
  <si>
    <t>IMG-S4-T10-36-WALL</t>
  </si>
  <si>
    <t>MFR-S4-T10-40-WALL</t>
  </si>
  <si>
    <t>IMG-S4-T10-40-WALL</t>
  </si>
  <si>
    <t>MFR-S4-T10-48-WALL</t>
  </si>
  <si>
    <t>IMG-S4-T10-48-WALL</t>
  </si>
  <si>
    <t>MFR-S4-T11-24-WALL</t>
  </si>
  <si>
    <t>MFR-S4-T11-30-WALL</t>
  </si>
  <si>
    <t>IMG-S4-T11-30-WALL</t>
  </si>
  <si>
    <t>MFR-S4-T11-36-WALL</t>
  </si>
  <si>
    <t>IMG-S4-T11-36-WALL</t>
  </si>
  <si>
    <t>MFR-S4-T11-40-WALL</t>
  </si>
  <si>
    <t>IMG-S4-T11-40-WALL</t>
  </si>
  <si>
    <t>MFR-S4-T11-48-WALL</t>
  </si>
  <si>
    <t>IMG-S4-T11-48-WALL</t>
  </si>
  <si>
    <t>MFR-S4-T12-24-WALL</t>
  </si>
  <si>
    <t>MFR-S4-T12-30-WALL</t>
  </si>
  <si>
    <t>IMG-S4-T12-30-WALL</t>
  </si>
  <si>
    <t>MFR-S4-T12-36-WALL</t>
  </si>
  <si>
    <t>IMG-S4-T12-36-WALL</t>
  </si>
  <si>
    <t>MFR-S4-T12-40-WALL</t>
  </si>
  <si>
    <t>IMG-S4-T12-40-WALL</t>
  </si>
  <si>
    <t>MFR-S4-T12-48-WALL</t>
  </si>
  <si>
    <t>IMG-S4-T12-48-WALL</t>
  </si>
  <si>
    <t>MFR-S4-T13-24-WALL</t>
  </si>
  <si>
    <t>MFR-S4-T13-30-WALL</t>
  </si>
  <si>
    <t>IMG-S4-T13-30-WALL</t>
  </si>
  <si>
    <t>MFR-S4-T13-36-WALL</t>
  </si>
  <si>
    <t>IMG-S4-T13-36-WALL</t>
  </si>
  <si>
    <t>MFR-S4-T13-40-WALL</t>
  </si>
  <si>
    <t>IMG-S4-T13-40-WALL</t>
  </si>
  <si>
    <t>MFR-S4-T13-48-WALL</t>
  </si>
  <si>
    <t>IMG-S4-T13-48-WALL</t>
  </si>
  <si>
    <t>MFR-S4-T14-24-WALL</t>
  </si>
  <si>
    <t>MFR-S4-T14-30-WALL</t>
  </si>
  <si>
    <t>IMG-S4-T14-30-WALL</t>
  </si>
  <si>
    <t>MFR-S4-T14-36-WALL</t>
  </si>
  <si>
    <t>IMG-S4-T14-36-WALL</t>
  </si>
  <si>
    <t>MFR-S4-T14-40-WALL</t>
  </si>
  <si>
    <t>IMG-S4-T14-40-WALL</t>
  </si>
  <si>
    <t>MFR-S4-T14-48-WALL</t>
  </si>
  <si>
    <t>IMG-S4-T14-48-WALL</t>
  </si>
  <si>
    <t>6"</t>
  </si>
  <si>
    <t>Not set</t>
  </si>
  <si>
    <t>MFR-S3-T1-06-NOT SET</t>
  </si>
  <si>
    <t>IMG-S3-T1-06-NOT SET</t>
  </si>
  <si>
    <t>MFR-S3-T1-07-NOT SET</t>
  </si>
  <si>
    <t>IMG-S3-T1-07-NOT SET</t>
  </si>
  <si>
    <t>MFR-S3-T1-08-NOT SET</t>
  </si>
  <si>
    <t>IMG-S3-T1-08-NOT SET</t>
  </si>
  <si>
    <t>MFR-S3-T1-10-NOT SET</t>
  </si>
  <si>
    <t>IMG-S3-T1-10-NOT SET</t>
  </si>
  <si>
    <t>A4</t>
  </si>
  <si>
    <t>MFR-S3-T1-04-NOT SET</t>
  </si>
  <si>
    <t>IMG-S3-T1-04-NOT SET</t>
  </si>
  <si>
    <t>A3</t>
  </si>
  <si>
    <t>MFR-S3-T1-03-NOT SET</t>
  </si>
  <si>
    <t>IMG-S3-T1-03-NOT SET</t>
  </si>
  <si>
    <t>MFR-S3-T2-06-NOT SET</t>
  </si>
  <si>
    <t>IMG-S3-T2-06-NOT SET</t>
  </si>
  <si>
    <t>MFR-S3-T2-07-NOT SET</t>
  </si>
  <si>
    <t>IMG-S3-T2-07-NOT SET</t>
  </si>
  <si>
    <t>MFR-S3-T2-08-NOT SET</t>
  </si>
  <si>
    <t>IMG-S3-T2-08-NOT SET</t>
  </si>
  <si>
    <t>MFR-S3-T2-10-NOT SET</t>
  </si>
  <si>
    <t>IMG-S3-T2-10-NOT SET</t>
  </si>
  <si>
    <t>MFR-S3-T2-04-NOT SET</t>
  </si>
  <si>
    <t>IMG-S3-T2-04-NOT SET</t>
  </si>
  <si>
    <t>MFR-S3-T2-03-NOT SET</t>
  </si>
  <si>
    <t>IMG-S3-T2-03-NOT SET</t>
  </si>
  <si>
    <t>MFR-S3-T3-06-NOT SET</t>
  </si>
  <si>
    <t>IMG-S3-T3-06-NOT SET</t>
  </si>
  <si>
    <t>MFR-S3-T3-07-NOT SET</t>
  </si>
  <si>
    <t>IMG-S3-T3-07-NOT SET</t>
  </si>
  <si>
    <t>MFR-S3-T3-08-NOT SET</t>
  </si>
  <si>
    <t>IMG-S3-T3-08-NOT SET</t>
  </si>
  <si>
    <t>MFR-S3-T3-10-NOT SET</t>
  </si>
  <si>
    <t>IMG-S3-T3-10-NOT SET</t>
  </si>
  <si>
    <t>MFR-S3-T3-04-NOT SET</t>
  </si>
  <si>
    <t>IMG-S3-T3-04-NOT SET</t>
  </si>
  <si>
    <t>MFR-S3-T3-03-NOT SET</t>
  </si>
  <si>
    <t>IMG-S3-T3-03-NOT SET</t>
  </si>
  <si>
    <t>MFR-S3-T4-06-NOT SET</t>
  </si>
  <si>
    <t>IMG-S3-T4-06-NOT SET</t>
  </si>
  <si>
    <t>MFR-S3-T4-07-NOT SET</t>
  </si>
  <si>
    <t>IMG-S3-T4-07-NOT SET</t>
  </si>
  <si>
    <t>MFR-S3-T4-08-NOT SET</t>
  </si>
  <si>
    <t>IMG-S3-T4-08-NOT SET</t>
  </si>
  <si>
    <t>MFR-S3-T4-10-NOT SET</t>
  </si>
  <si>
    <t>IMG-S3-T4-10-NOT SET</t>
  </si>
  <si>
    <t>MFR-S3-T4-04-NOT SET</t>
  </si>
  <si>
    <t>IMG-S3-T4-04-NOT SET</t>
  </si>
  <si>
    <t>MFR-S3-T4-03-NOT SET</t>
  </si>
  <si>
    <t>IMG-S3-T4-03-NOT SET</t>
  </si>
  <si>
    <t>MFR-S3-T5-06-NOT SET</t>
  </si>
  <si>
    <t>IMG-S3-T5-06-NOT SET</t>
  </si>
  <si>
    <t>MFR-S3-T5-07-NOT SET</t>
  </si>
  <si>
    <t>IMG-S3-T5-07-NOT SET</t>
  </si>
  <si>
    <t>MFR-S3-T5-08-NOT SET</t>
  </si>
  <si>
    <t>IMG-S3-T5-08-NOT SET</t>
  </si>
  <si>
    <t>MFR-S3-T5-10-NOT SET</t>
  </si>
  <si>
    <t>IMG-S3-T5-10-NOT SET</t>
  </si>
  <si>
    <t>MFR-S3-T5-04-NOT SET</t>
  </si>
  <si>
    <t>IMG-S3-T5-04-NOT SET</t>
  </si>
  <si>
    <t>MFR-S3-T5-03-NOT SET</t>
  </si>
  <si>
    <t>IMG-S3-T5-03-NOT SET</t>
  </si>
  <si>
    <t>Images</t>
  </si>
  <si>
    <t>Each product size has a unique Image SKU. Use a matching duplicated image file when sizes share the same visual.</t>
  </si>
  <si>
    <t>Relative Image Path</t>
  </si>
  <si>
    <t>Primary Image</t>
  </si>
  <si>
    <t>Yes</t>
  </si>
  <si>
    <t>Not added</t>
  </si>
  <si>
    <t>Price Rules</t>
  </si>
  <si>
    <t>Edit the yellow multiplier cells to update selling prices throughout the Products sheet.</t>
  </si>
  <si>
    <t>Multiplier</t>
  </si>
  <si>
    <t>Calculation</t>
  </si>
  <si>
    <t>&lt; 10</t>
  </si>
  <si>
    <t>Selling Price = ROUND(Cost SGD × 5, 0)</t>
  </si>
  <si>
    <t>10 to 50</t>
  </si>
  <si>
    <t>Selling Price = ROUND(Cost SGD × 4, 0)</t>
  </si>
  <si>
    <t>&gt; 50</t>
  </si>
  <si>
    <t>Selling Price = ROUND(Cost SGD × 3.5, 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</si>
</sst>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A1" sqref="A1:G1"/>
    </sheetView>
  </sheetViews>
  <sheetFormatPr defaultColWidth="7.94117647058824" defaultRowHeight="17.6" outlineLevelCol="6"/>
  <sheetData>
    <row r="1" spans="1:2">
      <c r="A1" t="s">
        <v>0</v>
      </c>
    </row>
    <row r="2" spans="1:2">
      <c r="A2" t="s">
        <v>1</v>
      </c>
    </row>
    <row r="4" spans="1:2">
      <c r="A4" t="s">
        <v>2</v>
      </c>
      <c r="B4" t="s">
        <v>3</v>
      </c>
    </row>
    <row r="5" spans="1:2">
      <c r="A5" t="s">
        <v>4</v>
      </c>
      <c r="B5" t="s">
        <v>5</v>
      </c>
    </row>
    <row r="6" spans="1:2">
      <c r="A6" t="s">
        <v>6</v>
      </c>
      <c r="B6" t="s">
        <v>7</v>
      </c>
    </row>
    <row r="7" spans="1:2">
      <c r="A7" t="s">
        <v>8</v>
      </c>
      <c r="B7" t="s">
        <v>9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13</v>
      </c>
    </row>
  </sheetData>
  <mergeCells count="2">
    <mergeCell ref="A1:G1"/>
    <mergeCell ref="A2:G2"/>
  </mergeCells>
  <pageMargins left="0.7" right="0.7" top="0.75" bottom="0.75" header="0.3" footer="0.3"/>
  <headerFooter/>
  <ignoredErrors>
    <ignoredError sqref="A1:G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" sqref="A1:E1"/>
    </sheetView>
  </sheetViews>
  <sheetFormatPr defaultColWidth="7.94117647058824" defaultRowHeight="17.6" outlineLevelRow="7" outlineLevelCol="4"/>
  <sheetData>
    <row r="1" spans="1:5">
      <c r="A1" t="s">
        <v>14</v>
      </c>
    </row>
    <row r="2" spans="1:5">
      <c r="A2" t="s">
        <v>15</v>
      </c>
    </row>
    <row r="4" spans="1:5">
      <c r="A4" t="s">
        <v>16</v>
      </c>
      <c r="B4" t="s">
        <v>17</v>
      </c>
      <c r="C4" t="s">
        <v>18</v>
      </c>
      <c r="D4" t="s">
        <v>19</v>
      </c>
      <c r="E4" t="s">
        <v>20</v>
      </c>
    </row>
    <row r="5" spans="1:5">
      <c r="A5" t="s">
        <v>21</v>
      </c>
      <c r="B5" t="s">
        <v>22</v>
      </c>
      <c r="C5" t="s">
        <v>23</v>
      </c>
      <c r="D5">
        <v>1</v>
      </c>
      <c r="E5" t="s">
        <v>24</v>
      </c>
    </row>
    <row r="6" spans="1:5">
      <c r="A6" t="s">
        <v>25</v>
      </c>
      <c r="B6" t="s">
        <v>26</v>
      </c>
      <c r="C6" t="s">
        <v>27</v>
      </c>
      <c r="D6">
        <v>2</v>
      </c>
      <c r="E6" t="s">
        <v>24</v>
      </c>
    </row>
    <row r="7" spans="1:5">
      <c r="A7" t="s">
        <v>28</v>
      </c>
      <c r="B7" t="s">
        <v>29</v>
      </c>
      <c r="C7" t="s">
        <v>30</v>
      </c>
      <c r="D7">
        <v>3</v>
      </c>
      <c r="E7" t="s">
        <v>24</v>
      </c>
    </row>
    <row r="8" spans="1:5">
      <c r="A8" t="s">
        <v>31</v>
      </c>
      <c r="B8" t="s">
        <v>32</v>
      </c>
      <c r="C8" t="s">
        <v>33</v>
      </c>
      <c r="D8">
        <v>4</v>
      </c>
      <c r="E8" t="s">
        <v>24</v>
      </c>
    </row>
  </sheetData>
  <mergeCells count="2">
    <mergeCell ref="A1:E1"/>
    <mergeCell ref="A2:E2"/>
  </mergeCells>
  <pageMargins left="0.7" right="0.7" top="0.75" bottom="0.75" header="0.3" footer="0.3"/>
  <headerFooter/>
  <ignoredErrors>
    <ignoredError sqref="A1:E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topLeftCell="A7" workbookViewId="0">
      <selection activeCell="G30" sqref="G30"/>
    </sheetView>
  </sheetViews>
  <sheetFormatPr defaultColWidth="7.94117647058824" defaultRowHeight="17.6" outlineLevelCol="7"/>
  <cols>
    <col min="5" max="5" width="22.4191176470588" customWidth="1"/>
  </cols>
  <sheetData>
    <row r="1" spans="1:8">
      <c r="A1" t="s">
        <v>34</v>
      </c>
    </row>
    <row r="2" spans="1:8">
      <c r="A2" t="s">
        <v>35</v>
      </c>
    </row>
    <row r="4" spans="1:8">
      <c r="A4" t="s">
        <v>16</v>
      </c>
      <c r="B4" t="s">
        <v>17</v>
      </c>
      <c r="C4" t="s">
        <v>36</v>
      </c>
      <c r="D4" t="s">
        <v>37</v>
      </c>
      <c r="E4" t="s">
        <v>38</v>
      </c>
      <c r="F4" t="s">
        <v>20</v>
      </c>
      <c r="G4" t="s">
        <v>39</v>
      </c>
      <c r="H4" t="s">
        <v>40</v>
      </c>
    </row>
    <row r="5" spans="1:8">
      <c r="A5" t="s">
        <v>21</v>
      </c>
      <c r="B5" t="s">
        <v>22</v>
      </c>
      <c r="C5" t="s">
        <v>41</v>
      </c>
      <c r="D5" t="s">
        <v>42</v>
      </c>
      <c r="E5" t="s">
        <v>43</v>
      </c>
      <c r="F5" t="s">
        <v>44</v>
      </c>
      <c r="G5" t="s">
        <v>42</v>
      </c>
      <c r="H5" t="s">
        <v>45</v>
      </c>
    </row>
    <row r="6" spans="1:8">
      <c r="A6" t="s">
        <v>25</v>
      </c>
      <c r="B6" t="s">
        <v>26</v>
      </c>
      <c r="C6" t="s">
        <v>46</v>
      </c>
      <c r="D6" t="s">
        <v>47</v>
      </c>
      <c r="E6" t="s">
        <v>48</v>
      </c>
      <c r="F6" t="s">
        <v>44</v>
      </c>
      <c r="G6" t="s">
        <v>47</v>
      </c>
      <c r="H6" t="s">
        <v>49</v>
      </c>
    </row>
    <row r="7" spans="1:8">
      <c r="A7" t="s">
        <v>25</v>
      </c>
      <c r="B7" t="s">
        <v>26</v>
      </c>
      <c r="C7" t="s">
        <v>50</v>
      </c>
      <c r="D7" t="s">
        <v>51</v>
      </c>
      <c r="E7" t="s">
        <v>52</v>
      </c>
      <c r="F7" t="s">
        <v>44</v>
      </c>
      <c r="G7" t="s">
        <v>51</v>
      </c>
      <c r="H7" t="s">
        <v>53</v>
      </c>
    </row>
    <row r="8" spans="1:8">
      <c r="A8" t="s">
        <v>25</v>
      </c>
      <c r="B8" t="s">
        <v>26</v>
      </c>
      <c r="C8" t="s">
        <v>54</v>
      </c>
      <c r="D8" t="s">
        <v>55</v>
      </c>
      <c r="E8" t="s">
        <v>56</v>
      </c>
      <c r="F8" t="s">
        <v>44</v>
      </c>
      <c r="G8" t="s">
        <v>55</v>
      </c>
      <c r="H8" t="s">
        <v>57</v>
      </c>
    </row>
    <row r="9" spans="1:8">
      <c r="A9" t="s">
        <v>25</v>
      </c>
      <c r="B9" t="s">
        <v>26</v>
      </c>
      <c r="C9" t="s">
        <v>58</v>
      </c>
      <c r="D9" t="s">
        <v>59</v>
      </c>
      <c r="E9" t="s">
        <v>60</v>
      </c>
      <c r="F9" t="s">
        <v>44</v>
      </c>
      <c r="G9" t="s">
        <v>59</v>
      </c>
      <c r="H9" t="s">
        <v>61</v>
      </c>
    </row>
    <row r="10" spans="1:8">
      <c r="A10" t="s">
        <v>25</v>
      </c>
      <c r="B10" t="s">
        <v>26</v>
      </c>
      <c r="C10" t="s">
        <v>62</v>
      </c>
      <c r="D10" t="s">
        <v>63</v>
      </c>
      <c r="E10" t="s">
        <v>64</v>
      </c>
      <c r="F10" t="s">
        <v>44</v>
      </c>
      <c r="G10" t="s">
        <v>63</v>
      </c>
      <c r="H10" t="s">
        <v>65</v>
      </c>
    </row>
    <row r="11" spans="1:8">
      <c r="A11" t="s">
        <v>25</v>
      </c>
      <c r="B11" t="s">
        <v>26</v>
      </c>
      <c r="C11" t="s">
        <v>66</v>
      </c>
      <c r="D11" t="s">
        <v>67</v>
      </c>
      <c r="E11" t="s">
        <v>68</v>
      </c>
      <c r="F11" t="s">
        <v>44</v>
      </c>
      <c r="G11" t="s">
        <v>67</v>
      </c>
      <c r="H11" t="s">
        <v>69</v>
      </c>
    </row>
    <row r="12" spans="1:8">
      <c r="A12" t="s">
        <v>31</v>
      </c>
      <c r="B12" t="s">
        <v>32</v>
      </c>
      <c r="C12" t="s">
        <v>70</v>
      </c>
      <c r="D12" t="s">
        <v>71</v>
      </c>
      <c r="E12" t="s">
        <v>72</v>
      </c>
      <c r="F12" t="s">
        <v>44</v>
      </c>
      <c r="G12" t="s">
        <v>71</v>
      </c>
      <c r="H12" t="s">
        <v>73</v>
      </c>
    </row>
    <row r="13" spans="1:8">
      <c r="A13" t="s">
        <v>31</v>
      </c>
      <c r="B13" t="s">
        <v>32</v>
      </c>
      <c r="C13" t="s">
        <v>74</v>
      </c>
      <c r="D13" t="s">
        <v>75</v>
      </c>
      <c r="E13" t="s">
        <v>76</v>
      </c>
      <c r="F13" t="s">
        <v>44</v>
      </c>
      <c r="G13" t="s">
        <v>75</v>
      </c>
      <c r="H13" t="s">
        <v>77</v>
      </c>
    </row>
    <row r="14" spans="1:8">
      <c r="A14" t="s">
        <v>31</v>
      </c>
      <c r="B14" t="s">
        <v>32</v>
      </c>
      <c r="C14" t="s">
        <v>78</v>
      </c>
      <c r="D14" t="s">
        <v>79</v>
      </c>
      <c r="E14" t="s">
        <v>80</v>
      </c>
      <c r="F14" t="s">
        <v>44</v>
      </c>
      <c r="G14" t="s">
        <v>79</v>
      </c>
      <c r="H14" t="s">
        <v>81</v>
      </c>
    </row>
    <row r="15" spans="1:8">
      <c r="A15" t="s">
        <v>31</v>
      </c>
      <c r="B15" t="s">
        <v>32</v>
      </c>
      <c r="C15" t="s">
        <v>82</v>
      </c>
      <c r="D15" t="s">
        <v>83</v>
      </c>
      <c r="E15" t="s">
        <v>84</v>
      </c>
      <c r="F15" t="s">
        <v>44</v>
      </c>
      <c r="G15" t="s">
        <v>83</v>
      </c>
      <c r="H15" t="s">
        <v>85</v>
      </c>
    </row>
    <row r="16" spans="1:8">
      <c r="A16" t="s">
        <v>31</v>
      </c>
      <c r="B16" t="s">
        <v>32</v>
      </c>
      <c r="C16" t="s">
        <v>86</v>
      </c>
      <c r="D16" t="s">
        <v>87</v>
      </c>
      <c r="E16" t="s">
        <v>88</v>
      </c>
      <c r="F16" t="s">
        <v>44</v>
      </c>
      <c r="G16" t="s">
        <v>87</v>
      </c>
      <c r="H16" t="s">
        <v>89</v>
      </c>
    </row>
    <row r="17" spans="1:8">
      <c r="A17" t="s">
        <v>31</v>
      </c>
      <c r="B17" t="s">
        <v>32</v>
      </c>
      <c r="C17" t="s">
        <v>90</v>
      </c>
      <c r="D17" t="s">
        <v>91</v>
      </c>
      <c r="E17" t="s">
        <v>92</v>
      </c>
      <c r="F17" t="s">
        <v>44</v>
      </c>
      <c r="G17" t="s">
        <v>91</v>
      </c>
      <c r="H17" t="s">
        <v>93</v>
      </c>
    </row>
    <row r="18" spans="1:8">
      <c r="A18" t="s">
        <v>31</v>
      </c>
      <c r="B18" t="s">
        <v>32</v>
      </c>
      <c r="C18" t="s">
        <v>94</v>
      </c>
      <c r="D18" t="s">
        <v>95</v>
      </c>
      <c r="E18" t="s">
        <v>96</v>
      </c>
      <c r="F18" t="s">
        <v>44</v>
      </c>
      <c r="G18" t="s">
        <v>95</v>
      </c>
      <c r="H18" t="s">
        <v>97</v>
      </c>
    </row>
    <row r="19" spans="1:8">
      <c r="A19" t="s">
        <v>31</v>
      </c>
      <c r="B19" t="s">
        <v>32</v>
      </c>
      <c r="C19" t="s">
        <v>98</v>
      </c>
      <c r="D19" t="s">
        <v>99</v>
      </c>
      <c r="E19" t="s">
        <v>100</v>
      </c>
      <c r="F19" t="s">
        <v>44</v>
      </c>
      <c r="G19" t="s">
        <v>99</v>
      </c>
      <c r="H19" t="s">
        <v>101</v>
      </c>
    </row>
    <row r="20" spans="1:8">
      <c r="A20" t="s">
        <v>31</v>
      </c>
      <c r="B20" t="s">
        <v>32</v>
      </c>
      <c r="C20" t="s">
        <v>102</v>
      </c>
      <c r="D20" t="s">
        <v>103</v>
      </c>
      <c r="E20" t="s">
        <v>104</v>
      </c>
      <c r="F20" t="s">
        <v>44</v>
      </c>
      <c r="G20" t="s">
        <v>103</v>
      </c>
      <c r="H20" t="s">
        <v>105</v>
      </c>
    </row>
    <row r="21" spans="1:8">
      <c r="A21" t="s">
        <v>31</v>
      </c>
      <c r="B21" t="s">
        <v>32</v>
      </c>
      <c r="C21" t="s">
        <v>106</v>
      </c>
      <c r="D21" t="s">
        <v>107</v>
      </c>
      <c r="E21" t="s">
        <v>108</v>
      </c>
      <c r="F21" t="s">
        <v>44</v>
      </c>
      <c r="G21" t="s">
        <v>107</v>
      </c>
      <c r="H21" t="s">
        <v>109</v>
      </c>
    </row>
    <row r="22" spans="1:8">
      <c r="A22" t="s">
        <v>31</v>
      </c>
      <c r="B22" t="s">
        <v>32</v>
      </c>
      <c r="C22" t="s">
        <v>110</v>
      </c>
      <c r="D22" t="s">
        <v>111</v>
      </c>
      <c r="E22" t="s">
        <v>112</v>
      </c>
      <c r="F22" t="s">
        <v>44</v>
      </c>
      <c r="G22" t="s">
        <v>111</v>
      </c>
      <c r="H22" t="s">
        <v>113</v>
      </c>
    </row>
    <row r="23" spans="1:8">
      <c r="A23" t="s">
        <v>31</v>
      </c>
      <c r="B23" t="s">
        <v>32</v>
      </c>
      <c r="C23" t="s">
        <v>114</v>
      </c>
      <c r="D23" t="s">
        <v>115</v>
      </c>
      <c r="E23" t="s">
        <v>116</v>
      </c>
      <c r="F23" t="s">
        <v>44</v>
      </c>
      <c r="G23" t="s">
        <v>115</v>
      </c>
      <c r="H23" t="s">
        <v>117</v>
      </c>
    </row>
    <row r="24" spans="1:8">
      <c r="A24" t="s">
        <v>31</v>
      </c>
      <c r="B24" t="s">
        <v>32</v>
      </c>
      <c r="C24" t="s">
        <v>118</v>
      </c>
      <c r="D24" t="s">
        <v>119</v>
      </c>
      <c r="E24" t="s">
        <v>120</v>
      </c>
      <c r="F24" t="s">
        <v>44</v>
      </c>
      <c r="G24" t="s">
        <v>119</v>
      </c>
      <c r="H24" t="s">
        <v>121</v>
      </c>
    </row>
    <row r="25" spans="1:8">
      <c r="A25" t="s">
        <v>31</v>
      </c>
      <c r="B25" t="s">
        <v>32</v>
      </c>
      <c r="C25" t="s">
        <v>122</v>
      </c>
      <c r="D25" t="s">
        <v>123</v>
      </c>
      <c r="E25" t="s">
        <v>124</v>
      </c>
      <c r="F25" t="s">
        <v>44</v>
      </c>
      <c r="G25" t="s">
        <v>123</v>
      </c>
      <c r="H25" t="s">
        <v>125</v>
      </c>
    </row>
    <row r="26" spans="1:8">
      <c r="A26" t="s">
        <v>28</v>
      </c>
      <c r="B26" t="s">
        <v>29</v>
      </c>
      <c r="C26" t="s">
        <v>126</v>
      </c>
      <c r="D26" t="s">
        <v>127</v>
      </c>
      <c r="E26" t="s">
        <v>128</v>
      </c>
      <c r="F26" t="s">
        <v>44</v>
      </c>
      <c r="G26" t="s">
        <v>127</v>
      </c>
      <c r="H26" t="s">
        <v>129</v>
      </c>
    </row>
    <row r="27" spans="1:8">
      <c r="A27" t="s">
        <v>28</v>
      </c>
      <c r="B27" t="s">
        <v>29</v>
      </c>
      <c r="C27" t="s">
        <v>130</v>
      </c>
      <c r="D27" t="s">
        <v>131</v>
      </c>
      <c r="E27" t="s">
        <v>132</v>
      </c>
      <c r="F27" t="s">
        <v>44</v>
      </c>
      <c r="G27" t="s">
        <v>131</v>
      </c>
      <c r="H27" t="s">
        <v>133</v>
      </c>
    </row>
    <row r="28" spans="1:8">
      <c r="A28" t="s">
        <v>28</v>
      </c>
      <c r="B28" t="s">
        <v>29</v>
      </c>
      <c r="C28" t="s">
        <v>134</v>
      </c>
      <c r="D28" t="s">
        <v>135</v>
      </c>
      <c r="E28" t="s">
        <v>136</v>
      </c>
      <c r="F28" t="s">
        <v>44</v>
      </c>
      <c r="G28" t="s">
        <v>135</v>
      </c>
      <c r="H28" t="s">
        <v>137</v>
      </c>
    </row>
    <row r="29" spans="1:8">
      <c r="A29" t="s">
        <v>28</v>
      </c>
      <c r="B29" t="s">
        <v>29</v>
      </c>
      <c r="C29" t="s">
        <v>138</v>
      </c>
      <c r="D29" t="s">
        <v>139</v>
      </c>
      <c r="E29" t="s">
        <v>140</v>
      </c>
      <c r="F29" t="s">
        <v>44</v>
      </c>
      <c r="G29" t="s">
        <v>139</v>
      </c>
      <c r="H29" t="s">
        <v>141</v>
      </c>
    </row>
    <row r="30" spans="1:8">
      <c r="A30" t="s">
        <v>28</v>
      </c>
      <c r="B30" t="s">
        <v>29</v>
      </c>
      <c r="C30" t="s">
        <v>142</v>
      </c>
      <c r="D30" t="s">
        <v>143</v>
      </c>
      <c r="E30" t="s">
        <v>144</v>
      </c>
      <c r="F30" t="s">
        <v>44</v>
      </c>
      <c r="G30" t="s">
        <v>143</v>
      </c>
      <c r="H30" t="s">
        <v>145</v>
      </c>
    </row>
  </sheetData>
  <mergeCells count="2">
    <mergeCell ref="A1:H1"/>
    <mergeCell ref="A2:H2"/>
  </mergeCells>
  <pageMargins left="0.7" right="0.7" top="0.75" bottom="0.75" header="0.3" footer="0.3"/>
  <headerFooter/>
  <ignoredErrors>
    <ignoredError sqref="A1:H25 A26:D30 F26:H3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7"/>
  <sheetViews>
    <sheetView topLeftCell="A28" workbookViewId="0">
      <selection activeCell="T14" sqref="T14"/>
    </sheetView>
  </sheetViews>
  <sheetFormatPr defaultColWidth="7.94117647058824" defaultRowHeight="17.6"/>
  <cols>
    <col min="4" max="4" width="13.7279411764706" customWidth="1"/>
    <col min="5" max="16" width="7.94117647058824" hidden="1" customWidth="1"/>
    <col min="17" max="17" width="24.3823529411765" customWidth="1"/>
    <col min="20" max="20" width="19.8529411764706" customWidth="1"/>
  </cols>
  <sheetData>
    <row r="1" spans="1:22">
      <c r="A1" t="s">
        <v>146</v>
      </c>
    </row>
    <row r="2" spans="1:22">
      <c r="A2" t="s">
        <v>147</v>
      </c>
    </row>
    <row r="4" spans="1:22">
      <c r="A4" t="s">
        <v>16</v>
      </c>
      <c r="B4" t="s">
        <v>36</v>
      </c>
      <c r="C4" t="s">
        <v>148</v>
      </c>
      <c r="D4" t="s">
        <v>149</v>
      </c>
      <c r="E4" t="s">
        <v>150</v>
      </c>
      <c r="F4" t="s">
        <v>151</v>
      </c>
      <c r="G4" t="s">
        <v>152</v>
      </c>
      <c r="H4" t="s">
        <v>153</v>
      </c>
      <c r="I4" t="s">
        <v>154</v>
      </c>
      <c r="J4" t="s">
        <v>155</v>
      </c>
      <c r="K4" t="s">
        <v>156</v>
      </c>
      <c r="L4" t="s">
        <v>157</v>
      </c>
      <c r="M4" t="s">
        <v>158</v>
      </c>
      <c r="N4" t="s">
        <v>159</v>
      </c>
      <c r="O4" t="s">
        <v>20</v>
      </c>
      <c r="P4" t="s">
        <v>160</v>
      </c>
      <c r="Q4" t="s">
        <v>161</v>
      </c>
      <c r="R4" t="s">
        <v>162</v>
      </c>
      <c r="S4" t="s">
        <v>163</v>
      </c>
      <c r="T4" t="s">
        <v>164</v>
      </c>
      <c r="U4" t="s">
        <v>165</v>
      </c>
      <c r="V4" t="s">
        <v>166</v>
      </c>
    </row>
    <row r="5" spans="1:22">
      <c r="A5" t="s">
        <v>21</v>
      </c>
      <c r="B5" t="s">
        <v>41</v>
      </c>
      <c r="C5" t="s">
        <v>167</v>
      </c>
      <c r="D5" t="s">
        <v>42</v>
      </c>
      <c r="E5" t="s">
        <v>45</v>
      </c>
      <c r="F5" t="s">
        <v>168</v>
      </c>
      <c r="G5" t="s">
        <v>169</v>
      </c>
      <c r="H5" t="s">
        <v>170</v>
      </c>
      <c r="I5">
        <v>9.95</v>
      </c>
      <c r="J5">
        <v>1.99</v>
      </c>
      <c r="K5">
        <f>IF(J5="","",IF(J5&lt;10,'Price Rules'!$B$5,IF(J5&lt;=50,'Price Rules'!$B$6,'Price Rules'!$B$7)))</f>
        <v>5</v>
      </c>
      <c r="L5">
        <f t="shared" ref="L5:L68" si="0">IF(J5="","",ROUND(J5*K5,0))</f>
        <v>10</v>
      </c>
      <c r="M5" t="s">
        <v>43</v>
      </c>
      <c r="N5" t="s">
        <v>171</v>
      </c>
      <c r="O5" t="s">
        <v>44</v>
      </c>
      <c r="P5">
        <v>3</v>
      </c>
      <c r="Q5" t="s">
        <v>172</v>
      </c>
      <c r="R5" t="s">
        <v>173</v>
      </c>
    </row>
    <row r="6" spans="1:22">
      <c r="A6" t="s">
        <v>21</v>
      </c>
      <c r="B6" t="s">
        <v>41</v>
      </c>
      <c r="C6" t="s">
        <v>174</v>
      </c>
      <c r="D6" t="s">
        <v>42</v>
      </c>
      <c r="E6" t="s">
        <v>45</v>
      </c>
      <c r="F6" t="s">
        <v>168</v>
      </c>
      <c r="G6" t="s">
        <v>175</v>
      </c>
      <c r="H6" t="s">
        <v>176</v>
      </c>
      <c r="I6">
        <v>12.9</v>
      </c>
      <c r="J6">
        <v>2.58</v>
      </c>
      <c r="K6">
        <f>IF(J6="","",IF(J6&lt;10,'Price Rules'!$B$5,IF(J6&lt;=50,'Price Rules'!$B$6,'Price Rules'!$B$7)))</f>
        <v>5</v>
      </c>
      <c r="L6">
        <f t="shared" si="0"/>
        <v>13</v>
      </c>
      <c r="M6" t="s">
        <v>177</v>
      </c>
      <c r="N6" t="s">
        <v>171</v>
      </c>
      <c r="O6" t="s">
        <v>44</v>
      </c>
      <c r="P6">
        <v>4</v>
      </c>
      <c r="Q6" t="s">
        <v>172</v>
      </c>
      <c r="R6" t="s">
        <v>173</v>
      </c>
    </row>
    <row r="7" spans="1:22">
      <c r="A7" t="s">
        <v>21</v>
      </c>
      <c r="B7" t="s">
        <v>41</v>
      </c>
      <c r="C7" t="s">
        <v>178</v>
      </c>
      <c r="D7" t="s">
        <v>42</v>
      </c>
      <c r="E7" t="s">
        <v>45</v>
      </c>
      <c r="F7" t="s">
        <v>168</v>
      </c>
      <c r="G7" t="s">
        <v>179</v>
      </c>
      <c r="H7" t="s">
        <v>180</v>
      </c>
      <c r="I7">
        <v>17.9</v>
      </c>
      <c r="J7">
        <v>3.58</v>
      </c>
      <c r="K7">
        <f>IF(J7="","",IF(J7&lt;10,'Price Rules'!$B$5,IF(J7&lt;=50,'Price Rules'!$B$6,'Price Rules'!$B$7)))</f>
        <v>5</v>
      </c>
      <c r="L7">
        <f t="shared" si="0"/>
        <v>18</v>
      </c>
      <c r="M7" t="s">
        <v>181</v>
      </c>
      <c r="N7" t="s">
        <v>171</v>
      </c>
      <c r="O7" t="s">
        <v>44</v>
      </c>
      <c r="P7">
        <v>5</v>
      </c>
      <c r="Q7" t="s">
        <v>172</v>
      </c>
      <c r="R7" t="s">
        <v>173</v>
      </c>
    </row>
    <row r="8" spans="1:22">
      <c r="A8" t="s">
        <v>21</v>
      </c>
      <c r="B8" t="s">
        <v>41</v>
      </c>
      <c r="C8" t="s">
        <v>182</v>
      </c>
      <c r="D8" t="s">
        <v>42</v>
      </c>
      <c r="E8" t="s">
        <v>45</v>
      </c>
      <c r="F8" t="s">
        <v>168</v>
      </c>
      <c r="G8" t="s">
        <v>183</v>
      </c>
      <c r="H8" t="s">
        <v>184</v>
      </c>
      <c r="I8">
        <v>19.9</v>
      </c>
      <c r="J8">
        <v>3.98</v>
      </c>
      <c r="K8">
        <f>IF(J8="","",IF(J8&lt;10,'Price Rules'!$B$5,IF(J8&lt;=50,'Price Rules'!$B$6,'Price Rules'!$B$7)))</f>
        <v>5</v>
      </c>
      <c r="L8">
        <f t="shared" si="0"/>
        <v>20</v>
      </c>
      <c r="M8" t="s">
        <v>185</v>
      </c>
      <c r="N8" t="s">
        <v>171</v>
      </c>
      <c r="O8" t="s">
        <v>44</v>
      </c>
      <c r="P8">
        <v>6</v>
      </c>
      <c r="Q8" t="s">
        <v>172</v>
      </c>
      <c r="R8" t="s">
        <v>173</v>
      </c>
    </row>
    <row r="9" spans="1:22">
      <c r="A9" t="s">
        <v>21</v>
      </c>
      <c r="B9" t="s">
        <v>41</v>
      </c>
      <c r="C9" t="s">
        <v>186</v>
      </c>
      <c r="D9" t="s">
        <v>42</v>
      </c>
      <c r="E9" t="s">
        <v>45</v>
      </c>
      <c r="F9" t="s">
        <v>168</v>
      </c>
      <c r="G9" t="s">
        <v>187</v>
      </c>
      <c r="H9" t="s">
        <v>188</v>
      </c>
      <c r="I9">
        <v>25.9</v>
      </c>
      <c r="J9">
        <v>5.18</v>
      </c>
      <c r="K9">
        <f>IF(J9="","",IF(J9&lt;10,'Price Rules'!$B$5,IF(J9&lt;=50,'Price Rules'!$B$6,'Price Rules'!$B$7)))</f>
        <v>5</v>
      </c>
      <c r="L9">
        <f t="shared" si="0"/>
        <v>26</v>
      </c>
      <c r="M9" t="s">
        <v>189</v>
      </c>
      <c r="N9" t="s">
        <v>171</v>
      </c>
      <c r="O9" t="s">
        <v>44</v>
      </c>
      <c r="P9">
        <v>7</v>
      </c>
      <c r="Q9" t="s">
        <v>172</v>
      </c>
      <c r="R9" t="s">
        <v>173</v>
      </c>
    </row>
    <row r="10" spans="1:22">
      <c r="A10" t="s">
        <v>21</v>
      </c>
      <c r="B10" t="s">
        <v>41</v>
      </c>
      <c r="C10" t="s">
        <v>190</v>
      </c>
      <c r="D10" t="s">
        <v>42</v>
      </c>
      <c r="E10" t="s">
        <v>45</v>
      </c>
      <c r="F10" t="s">
        <v>191</v>
      </c>
      <c r="G10" t="s">
        <v>192</v>
      </c>
      <c r="H10" t="s">
        <v>193</v>
      </c>
      <c r="I10">
        <v>39.9</v>
      </c>
      <c r="J10">
        <v>7.98</v>
      </c>
      <c r="K10">
        <f>IF(J10="","",IF(J10&lt;10,'Price Rules'!$B$5,IF(J10&lt;=50,'Price Rules'!$B$6,'Price Rules'!$B$7)))</f>
        <v>5</v>
      </c>
      <c r="L10">
        <f t="shared" si="0"/>
        <v>40</v>
      </c>
      <c r="M10" t="s">
        <v>194</v>
      </c>
      <c r="N10" t="s">
        <v>171</v>
      </c>
      <c r="O10" t="s">
        <v>44</v>
      </c>
      <c r="P10">
        <v>8</v>
      </c>
      <c r="Q10" t="s">
        <v>195</v>
      </c>
      <c r="R10" t="s">
        <v>173</v>
      </c>
    </row>
    <row r="11" spans="1:22">
      <c r="A11" t="s">
        <v>21</v>
      </c>
      <c r="B11" t="s">
        <v>41</v>
      </c>
      <c r="C11" t="s">
        <v>196</v>
      </c>
      <c r="D11" t="s">
        <v>42</v>
      </c>
      <c r="E11" t="s">
        <v>45</v>
      </c>
      <c r="F11" t="s">
        <v>191</v>
      </c>
      <c r="G11" t="s">
        <v>197</v>
      </c>
      <c r="H11" t="s">
        <v>198</v>
      </c>
      <c r="I11">
        <v>45.9</v>
      </c>
      <c r="J11">
        <v>9.18</v>
      </c>
      <c r="K11">
        <f>IF(J11="","",IF(J11&lt;10,'Price Rules'!$B$5,IF(J11&lt;=50,'Price Rules'!$B$6,'Price Rules'!$B$7)))</f>
        <v>5</v>
      </c>
      <c r="L11">
        <f t="shared" si="0"/>
        <v>46</v>
      </c>
      <c r="M11" t="s">
        <v>199</v>
      </c>
      <c r="N11" t="s">
        <v>171</v>
      </c>
      <c r="O11" t="s">
        <v>44</v>
      </c>
      <c r="P11">
        <v>9</v>
      </c>
      <c r="Q11" t="s">
        <v>195</v>
      </c>
      <c r="R11" t="s">
        <v>173</v>
      </c>
    </row>
    <row r="12" spans="1:22">
      <c r="A12" t="s">
        <v>21</v>
      </c>
      <c r="B12" t="s">
        <v>41</v>
      </c>
      <c r="C12" t="s">
        <v>200</v>
      </c>
      <c r="D12" t="s">
        <v>42</v>
      </c>
      <c r="E12" t="s">
        <v>45</v>
      </c>
      <c r="F12" t="s">
        <v>191</v>
      </c>
      <c r="G12" t="s">
        <v>201</v>
      </c>
      <c r="H12" t="s">
        <v>202</v>
      </c>
      <c r="I12">
        <v>51</v>
      </c>
      <c r="J12">
        <v>10.2</v>
      </c>
      <c r="K12">
        <f>IF(J12="","",IF(J12&lt;10,'Price Rules'!$B$5,IF(J12&lt;=50,'Price Rules'!$B$6,'Price Rules'!$B$7)))</f>
        <v>4</v>
      </c>
      <c r="L12">
        <f t="shared" si="0"/>
        <v>41</v>
      </c>
      <c r="M12" t="s">
        <v>203</v>
      </c>
      <c r="N12" t="s">
        <v>171</v>
      </c>
      <c r="O12" t="s">
        <v>44</v>
      </c>
      <c r="P12">
        <v>10</v>
      </c>
      <c r="Q12" t="s">
        <v>195</v>
      </c>
      <c r="R12" t="s">
        <v>173</v>
      </c>
    </row>
    <row r="13" spans="1:22">
      <c r="A13" t="s">
        <v>21</v>
      </c>
      <c r="B13" t="s">
        <v>41</v>
      </c>
      <c r="C13" t="s">
        <v>204</v>
      </c>
      <c r="D13" t="s">
        <v>42</v>
      </c>
      <c r="E13" t="s">
        <v>45</v>
      </c>
      <c r="F13" t="s">
        <v>191</v>
      </c>
      <c r="G13" t="s">
        <v>205</v>
      </c>
      <c r="H13" t="s">
        <v>206</v>
      </c>
      <c r="I13">
        <v>70.9</v>
      </c>
      <c r="J13">
        <v>14.18</v>
      </c>
      <c r="K13">
        <f>IF(J13="","",IF(J13&lt;10,'Price Rules'!$B$5,IF(J13&lt;=50,'Price Rules'!$B$6,'Price Rules'!$B$7)))</f>
        <v>4</v>
      </c>
      <c r="L13">
        <f t="shared" si="0"/>
        <v>57</v>
      </c>
      <c r="M13" t="s">
        <v>207</v>
      </c>
      <c r="N13" t="s">
        <v>171</v>
      </c>
      <c r="O13" t="s">
        <v>44</v>
      </c>
      <c r="P13">
        <v>11</v>
      </c>
      <c r="Q13" t="s">
        <v>195</v>
      </c>
      <c r="R13" t="s">
        <v>173</v>
      </c>
    </row>
    <row r="14" spans="1:22">
      <c r="A14" t="s">
        <v>21</v>
      </c>
      <c r="B14" t="s">
        <v>41</v>
      </c>
      <c r="C14" t="s">
        <v>208</v>
      </c>
      <c r="D14" t="s">
        <v>42</v>
      </c>
      <c r="E14" t="s">
        <v>45</v>
      </c>
      <c r="F14" t="s">
        <v>191</v>
      </c>
      <c r="G14" t="s">
        <v>209</v>
      </c>
      <c r="H14" t="s">
        <v>210</v>
      </c>
      <c r="I14">
        <v>112.9</v>
      </c>
      <c r="J14">
        <v>22.58</v>
      </c>
      <c r="K14">
        <f>IF(J14="","",IF(J14&lt;10,'Price Rules'!$B$5,IF(J14&lt;=50,'Price Rules'!$B$6,'Price Rules'!$B$7)))</f>
        <v>4</v>
      </c>
      <c r="L14">
        <f t="shared" si="0"/>
        <v>90</v>
      </c>
      <c r="M14" t="s">
        <v>211</v>
      </c>
      <c r="N14" t="s">
        <v>171</v>
      </c>
      <c r="O14" t="s">
        <v>44</v>
      </c>
      <c r="P14">
        <v>12</v>
      </c>
      <c r="Q14" t="s">
        <v>195</v>
      </c>
      <c r="R14" t="s">
        <v>173</v>
      </c>
    </row>
    <row r="15" spans="1:22">
      <c r="A15" t="s">
        <v>21</v>
      </c>
      <c r="B15" t="s">
        <v>41</v>
      </c>
      <c r="C15" t="s">
        <v>212</v>
      </c>
      <c r="D15" t="s">
        <v>42</v>
      </c>
      <c r="E15" t="s">
        <v>45</v>
      </c>
      <c r="F15" t="s">
        <v>191</v>
      </c>
      <c r="G15" t="s">
        <v>213</v>
      </c>
      <c r="H15" t="s">
        <v>214</v>
      </c>
      <c r="I15">
        <v>110</v>
      </c>
      <c r="J15">
        <v>22</v>
      </c>
      <c r="K15">
        <f>IF(J15="","",IF(J15&lt;10,'Price Rules'!$B$5,IF(J15&lt;=50,'Price Rules'!$B$6,'Price Rules'!$B$7)))</f>
        <v>4</v>
      </c>
      <c r="L15">
        <f t="shared" si="0"/>
        <v>88</v>
      </c>
      <c r="M15" t="s">
        <v>215</v>
      </c>
      <c r="N15" t="s">
        <v>171</v>
      </c>
      <c r="O15" t="s">
        <v>44</v>
      </c>
      <c r="P15">
        <v>13</v>
      </c>
      <c r="Q15" t="s">
        <v>195</v>
      </c>
      <c r="R15" t="s">
        <v>173</v>
      </c>
    </row>
    <row r="16" spans="1:22">
      <c r="A16" t="s">
        <v>21</v>
      </c>
      <c r="B16" t="s">
        <v>41</v>
      </c>
      <c r="C16" t="s">
        <v>216</v>
      </c>
      <c r="D16" t="s">
        <v>42</v>
      </c>
      <c r="E16" t="s">
        <v>45</v>
      </c>
      <c r="F16" t="s">
        <v>191</v>
      </c>
      <c r="G16" t="s">
        <v>217</v>
      </c>
      <c r="H16" t="s">
        <v>218</v>
      </c>
      <c r="I16">
        <v>123.5</v>
      </c>
      <c r="J16">
        <v>24.7</v>
      </c>
      <c r="K16">
        <f>IF(J16="","",IF(J16&lt;10,'Price Rules'!$B$5,IF(J16&lt;=50,'Price Rules'!$B$6,'Price Rules'!$B$7)))</f>
        <v>4</v>
      </c>
      <c r="L16">
        <f t="shared" si="0"/>
        <v>99</v>
      </c>
      <c r="M16" t="s">
        <v>219</v>
      </c>
      <c r="N16" t="s">
        <v>171</v>
      </c>
      <c r="O16" t="s">
        <v>44</v>
      </c>
      <c r="P16">
        <v>14</v>
      </c>
      <c r="Q16" t="s">
        <v>195</v>
      </c>
      <c r="R16" t="s">
        <v>173</v>
      </c>
    </row>
    <row r="17" spans="1:18">
      <c r="A17" t="s">
        <v>21</v>
      </c>
      <c r="B17" t="s">
        <v>41</v>
      </c>
      <c r="C17" t="s">
        <v>220</v>
      </c>
      <c r="D17" t="s">
        <v>42</v>
      </c>
      <c r="E17" t="s">
        <v>45</v>
      </c>
      <c r="F17" t="s">
        <v>191</v>
      </c>
      <c r="G17" t="s">
        <v>221</v>
      </c>
      <c r="H17" t="s">
        <v>222</v>
      </c>
      <c r="I17">
        <v>157</v>
      </c>
      <c r="J17">
        <v>31.4</v>
      </c>
      <c r="K17">
        <f>IF(J17="","",IF(J17&lt;10,'Price Rules'!$B$5,IF(J17&lt;=50,'Price Rules'!$B$6,'Price Rules'!$B$7)))</f>
        <v>4</v>
      </c>
      <c r="L17">
        <f t="shared" si="0"/>
        <v>126</v>
      </c>
      <c r="M17" t="s">
        <v>223</v>
      </c>
      <c r="N17" t="s">
        <v>171</v>
      </c>
      <c r="O17" t="s">
        <v>44</v>
      </c>
      <c r="P17">
        <v>15</v>
      </c>
      <c r="Q17" t="s">
        <v>195</v>
      </c>
      <c r="R17" t="s">
        <v>173</v>
      </c>
    </row>
    <row r="18" spans="1:18">
      <c r="A18" t="s">
        <v>21</v>
      </c>
      <c r="B18" t="s">
        <v>41</v>
      </c>
      <c r="C18" t="s">
        <v>224</v>
      </c>
      <c r="D18" t="s">
        <v>42</v>
      </c>
      <c r="E18" t="s">
        <v>45</v>
      </c>
      <c r="F18" t="s">
        <v>191</v>
      </c>
      <c r="G18" t="s">
        <v>225</v>
      </c>
      <c r="H18" t="s">
        <v>226</v>
      </c>
      <c r="I18">
        <v>173</v>
      </c>
      <c r="J18">
        <v>34.6</v>
      </c>
      <c r="K18">
        <f>IF(J18="","",IF(J18&lt;10,'Price Rules'!$B$5,IF(J18&lt;=50,'Price Rules'!$B$6,'Price Rules'!$B$7)))</f>
        <v>4</v>
      </c>
      <c r="L18">
        <f t="shared" si="0"/>
        <v>138</v>
      </c>
      <c r="M18" t="s">
        <v>227</v>
      </c>
      <c r="N18" t="s">
        <v>171</v>
      </c>
      <c r="O18" t="s">
        <v>44</v>
      </c>
      <c r="P18">
        <v>16</v>
      </c>
      <c r="Q18" t="s">
        <v>195</v>
      </c>
      <c r="R18" t="s">
        <v>173</v>
      </c>
    </row>
    <row r="19" spans="1:18">
      <c r="A19" t="s">
        <v>25</v>
      </c>
      <c r="B19" t="s">
        <v>46</v>
      </c>
      <c r="C19" t="s">
        <v>167</v>
      </c>
      <c r="D19" t="s">
        <v>47</v>
      </c>
      <c r="E19" t="s">
        <v>49</v>
      </c>
      <c r="F19" t="s">
        <v>168</v>
      </c>
      <c r="G19" t="s">
        <v>228</v>
      </c>
      <c r="H19" t="s">
        <v>229</v>
      </c>
      <c r="I19">
        <v>11.45</v>
      </c>
      <c r="J19">
        <v>2.29</v>
      </c>
      <c r="K19">
        <f>IF(J19="","",IF(J19&lt;10,'Price Rules'!$B$5,IF(J19&lt;=50,'Price Rules'!$B$6,'Price Rules'!$B$7)))</f>
        <v>5</v>
      </c>
      <c r="L19">
        <f t="shared" si="0"/>
        <v>11</v>
      </c>
      <c r="M19" t="s">
        <v>48</v>
      </c>
      <c r="N19" t="s">
        <v>171</v>
      </c>
      <c r="O19" t="s">
        <v>44</v>
      </c>
      <c r="P19">
        <v>19</v>
      </c>
      <c r="Q19" t="s">
        <v>172</v>
      </c>
      <c r="R19" t="s">
        <v>230</v>
      </c>
    </row>
    <row r="20" spans="1:18">
      <c r="A20" t="s">
        <v>25</v>
      </c>
      <c r="B20" t="s">
        <v>46</v>
      </c>
      <c r="C20" t="s">
        <v>174</v>
      </c>
      <c r="D20" t="s">
        <v>47</v>
      </c>
      <c r="E20" t="s">
        <v>49</v>
      </c>
      <c r="F20" t="s">
        <v>168</v>
      </c>
      <c r="G20" t="s">
        <v>231</v>
      </c>
      <c r="H20" t="s">
        <v>232</v>
      </c>
      <c r="I20">
        <v>12.9</v>
      </c>
      <c r="J20">
        <v>2.58</v>
      </c>
      <c r="K20">
        <f>IF(J20="","",IF(J20&lt;10,'Price Rules'!$B$5,IF(J20&lt;=50,'Price Rules'!$B$6,'Price Rules'!$B$7)))</f>
        <v>5</v>
      </c>
      <c r="L20">
        <f t="shared" si="0"/>
        <v>13</v>
      </c>
      <c r="M20" t="s">
        <v>233</v>
      </c>
      <c r="N20" t="s">
        <v>171</v>
      </c>
      <c r="O20" t="s">
        <v>44</v>
      </c>
      <c r="P20">
        <v>20</v>
      </c>
      <c r="Q20" t="s">
        <v>172</v>
      </c>
      <c r="R20" t="s">
        <v>230</v>
      </c>
    </row>
    <row r="21" spans="1:18">
      <c r="A21" t="s">
        <v>25</v>
      </c>
      <c r="B21" t="s">
        <v>46</v>
      </c>
      <c r="C21" t="s">
        <v>178</v>
      </c>
      <c r="D21" t="s">
        <v>47</v>
      </c>
      <c r="E21" t="s">
        <v>49</v>
      </c>
      <c r="F21" t="s">
        <v>168</v>
      </c>
      <c r="G21" t="s">
        <v>234</v>
      </c>
      <c r="H21" t="s">
        <v>235</v>
      </c>
      <c r="I21">
        <v>14.9</v>
      </c>
      <c r="J21">
        <v>2.98</v>
      </c>
      <c r="K21">
        <f>IF(J21="","",IF(J21&lt;10,'Price Rules'!$B$5,IF(J21&lt;=50,'Price Rules'!$B$6,'Price Rules'!$B$7)))</f>
        <v>5</v>
      </c>
      <c r="L21">
        <f t="shared" si="0"/>
        <v>15</v>
      </c>
      <c r="M21" t="s">
        <v>236</v>
      </c>
      <c r="N21" t="s">
        <v>171</v>
      </c>
      <c r="O21" t="s">
        <v>44</v>
      </c>
      <c r="P21">
        <v>21</v>
      </c>
      <c r="Q21" t="s">
        <v>172</v>
      </c>
      <c r="R21" t="s">
        <v>230</v>
      </c>
    </row>
    <row r="22" spans="1:18">
      <c r="A22" t="s">
        <v>25</v>
      </c>
      <c r="B22" t="s">
        <v>46</v>
      </c>
      <c r="C22" t="s">
        <v>182</v>
      </c>
      <c r="D22" t="s">
        <v>47</v>
      </c>
      <c r="E22" t="s">
        <v>49</v>
      </c>
      <c r="F22" t="s">
        <v>168</v>
      </c>
      <c r="G22" t="s">
        <v>237</v>
      </c>
      <c r="H22" t="s">
        <v>238</v>
      </c>
      <c r="I22">
        <v>18.9</v>
      </c>
      <c r="J22">
        <v>3.78</v>
      </c>
      <c r="K22">
        <f>IF(J22="","",IF(J22&lt;10,'Price Rules'!$B$5,IF(J22&lt;=50,'Price Rules'!$B$6,'Price Rules'!$B$7)))</f>
        <v>5</v>
      </c>
      <c r="L22">
        <f t="shared" si="0"/>
        <v>19</v>
      </c>
      <c r="M22" t="s">
        <v>239</v>
      </c>
      <c r="N22" t="s">
        <v>171</v>
      </c>
      <c r="O22" t="s">
        <v>44</v>
      </c>
      <c r="P22">
        <v>22</v>
      </c>
      <c r="Q22" t="s">
        <v>172</v>
      </c>
      <c r="R22" t="s">
        <v>230</v>
      </c>
    </row>
    <row r="23" spans="1:18">
      <c r="A23" t="s">
        <v>25</v>
      </c>
      <c r="B23" t="s">
        <v>46</v>
      </c>
      <c r="C23" t="s">
        <v>186</v>
      </c>
      <c r="D23" t="s">
        <v>47</v>
      </c>
      <c r="E23" t="s">
        <v>49</v>
      </c>
      <c r="F23" t="s">
        <v>168</v>
      </c>
      <c r="G23" t="s">
        <v>240</v>
      </c>
      <c r="H23" t="s">
        <v>241</v>
      </c>
      <c r="I23">
        <v>20.85</v>
      </c>
      <c r="J23">
        <v>4.17</v>
      </c>
      <c r="K23">
        <f>IF(J23="","",IF(J23&lt;10,'Price Rules'!$B$5,IF(J23&lt;=50,'Price Rules'!$B$6,'Price Rules'!$B$7)))</f>
        <v>5</v>
      </c>
      <c r="L23">
        <f t="shared" si="0"/>
        <v>21</v>
      </c>
      <c r="M23" t="s">
        <v>242</v>
      </c>
      <c r="N23" t="s">
        <v>171</v>
      </c>
      <c r="O23" t="s">
        <v>44</v>
      </c>
      <c r="P23">
        <v>23</v>
      </c>
      <c r="Q23" t="s">
        <v>172</v>
      </c>
      <c r="R23" t="s">
        <v>230</v>
      </c>
    </row>
    <row r="24" spans="1:18">
      <c r="A24" t="s">
        <v>25</v>
      </c>
      <c r="B24" t="s">
        <v>46</v>
      </c>
      <c r="C24" t="s">
        <v>190</v>
      </c>
      <c r="D24" t="s">
        <v>47</v>
      </c>
      <c r="E24" t="s">
        <v>49</v>
      </c>
      <c r="F24" t="s">
        <v>191</v>
      </c>
      <c r="G24" t="s">
        <v>243</v>
      </c>
      <c r="H24" t="s">
        <v>244</v>
      </c>
      <c r="I24">
        <v>26.9</v>
      </c>
      <c r="J24">
        <v>5.38</v>
      </c>
      <c r="K24">
        <f>IF(J24="","",IF(J24&lt;10,'Price Rules'!$B$5,IF(J24&lt;=50,'Price Rules'!$B$6,'Price Rules'!$B$7)))</f>
        <v>5</v>
      </c>
      <c r="L24">
        <f t="shared" si="0"/>
        <v>27</v>
      </c>
      <c r="M24" t="s">
        <v>245</v>
      </c>
      <c r="N24" t="s">
        <v>171</v>
      </c>
      <c r="O24" t="s">
        <v>44</v>
      </c>
      <c r="P24">
        <v>24</v>
      </c>
      <c r="Q24" t="s">
        <v>195</v>
      </c>
      <c r="R24" t="s">
        <v>230</v>
      </c>
    </row>
    <row r="25" spans="1:18">
      <c r="A25" t="s">
        <v>25</v>
      </c>
      <c r="B25" t="s">
        <v>46</v>
      </c>
      <c r="C25" t="s">
        <v>196</v>
      </c>
      <c r="D25" t="s">
        <v>47</v>
      </c>
      <c r="E25" t="s">
        <v>49</v>
      </c>
      <c r="F25" t="s">
        <v>191</v>
      </c>
      <c r="G25" t="s">
        <v>246</v>
      </c>
      <c r="H25" t="s">
        <v>247</v>
      </c>
      <c r="I25">
        <v>35.9</v>
      </c>
      <c r="J25">
        <v>7.18</v>
      </c>
      <c r="K25">
        <f>IF(J25="","",IF(J25&lt;10,'Price Rules'!$B$5,IF(J25&lt;=50,'Price Rules'!$B$6,'Price Rules'!$B$7)))</f>
        <v>5</v>
      </c>
      <c r="L25">
        <f t="shared" si="0"/>
        <v>36</v>
      </c>
      <c r="M25" t="s">
        <v>248</v>
      </c>
      <c r="N25" t="s">
        <v>171</v>
      </c>
      <c r="O25" t="s">
        <v>44</v>
      </c>
      <c r="P25">
        <v>25</v>
      </c>
      <c r="Q25" t="s">
        <v>195</v>
      </c>
      <c r="R25" t="s">
        <v>230</v>
      </c>
    </row>
    <row r="26" spans="1:18">
      <c r="A26" t="s">
        <v>25</v>
      </c>
      <c r="B26" t="s">
        <v>46</v>
      </c>
      <c r="C26" t="s">
        <v>200</v>
      </c>
      <c r="D26" t="s">
        <v>47</v>
      </c>
      <c r="E26" t="s">
        <v>49</v>
      </c>
      <c r="F26" t="s">
        <v>191</v>
      </c>
      <c r="G26" t="s">
        <v>249</v>
      </c>
      <c r="H26" t="s">
        <v>250</v>
      </c>
      <c r="I26">
        <v>39.9</v>
      </c>
      <c r="J26">
        <v>7.98</v>
      </c>
      <c r="K26">
        <f>IF(J26="","",IF(J26&lt;10,'Price Rules'!$B$5,IF(J26&lt;=50,'Price Rules'!$B$6,'Price Rules'!$B$7)))</f>
        <v>5</v>
      </c>
      <c r="L26">
        <f t="shared" si="0"/>
        <v>40</v>
      </c>
      <c r="M26" t="s">
        <v>251</v>
      </c>
      <c r="N26" t="s">
        <v>171</v>
      </c>
      <c r="O26" t="s">
        <v>44</v>
      </c>
      <c r="P26">
        <v>26</v>
      </c>
      <c r="Q26" t="s">
        <v>195</v>
      </c>
      <c r="R26" t="s">
        <v>230</v>
      </c>
    </row>
    <row r="27" spans="1:18">
      <c r="A27" t="s">
        <v>25</v>
      </c>
      <c r="B27" t="s">
        <v>46</v>
      </c>
      <c r="C27" t="s">
        <v>204</v>
      </c>
      <c r="D27" t="s">
        <v>47</v>
      </c>
      <c r="E27" t="s">
        <v>49</v>
      </c>
      <c r="F27" t="s">
        <v>191</v>
      </c>
      <c r="G27" t="s">
        <v>252</v>
      </c>
      <c r="H27" t="s">
        <v>253</v>
      </c>
      <c r="I27">
        <v>48.9</v>
      </c>
      <c r="J27">
        <v>9.78</v>
      </c>
      <c r="K27">
        <f>IF(J27="","",IF(J27&lt;10,'Price Rules'!$B$5,IF(J27&lt;=50,'Price Rules'!$B$6,'Price Rules'!$B$7)))</f>
        <v>5</v>
      </c>
      <c r="L27">
        <f t="shared" si="0"/>
        <v>49</v>
      </c>
      <c r="M27" t="s">
        <v>254</v>
      </c>
      <c r="N27" t="s">
        <v>171</v>
      </c>
      <c r="O27" t="s">
        <v>44</v>
      </c>
      <c r="P27">
        <v>27</v>
      </c>
      <c r="Q27" t="s">
        <v>195</v>
      </c>
      <c r="R27" t="s">
        <v>230</v>
      </c>
    </row>
    <row r="28" spans="1:18">
      <c r="A28" t="s">
        <v>25</v>
      </c>
      <c r="B28" t="s">
        <v>46</v>
      </c>
      <c r="C28" t="s">
        <v>208</v>
      </c>
      <c r="D28" t="s">
        <v>47</v>
      </c>
      <c r="E28" t="s">
        <v>49</v>
      </c>
      <c r="F28" t="s">
        <v>191</v>
      </c>
      <c r="G28" t="s">
        <v>255</v>
      </c>
      <c r="H28" t="s">
        <v>256</v>
      </c>
      <c r="I28">
        <v>72.5</v>
      </c>
      <c r="J28">
        <v>14.5</v>
      </c>
      <c r="K28">
        <f>IF(J28="","",IF(J28&lt;10,'Price Rules'!$B$5,IF(J28&lt;=50,'Price Rules'!$B$6,'Price Rules'!$B$7)))</f>
        <v>4</v>
      </c>
      <c r="L28">
        <f t="shared" si="0"/>
        <v>58</v>
      </c>
      <c r="M28" t="s">
        <v>257</v>
      </c>
      <c r="N28" t="s">
        <v>171</v>
      </c>
      <c r="O28" t="s">
        <v>44</v>
      </c>
      <c r="P28">
        <v>28</v>
      </c>
      <c r="Q28" t="s">
        <v>195</v>
      </c>
      <c r="R28" t="s">
        <v>230</v>
      </c>
    </row>
    <row r="29" spans="1:18">
      <c r="A29" t="s">
        <v>25</v>
      </c>
      <c r="B29" t="s">
        <v>46</v>
      </c>
      <c r="C29" t="s">
        <v>212</v>
      </c>
      <c r="D29" t="s">
        <v>47</v>
      </c>
      <c r="E29" t="s">
        <v>49</v>
      </c>
      <c r="F29" t="s">
        <v>191</v>
      </c>
      <c r="G29" t="s">
        <v>258</v>
      </c>
      <c r="H29" t="s">
        <v>259</v>
      </c>
      <c r="I29">
        <v>82.8</v>
      </c>
      <c r="J29">
        <v>16.56</v>
      </c>
      <c r="K29">
        <f>IF(J29="","",IF(J29&lt;10,'Price Rules'!$B$5,IF(J29&lt;=50,'Price Rules'!$B$6,'Price Rules'!$B$7)))</f>
        <v>4</v>
      </c>
      <c r="L29">
        <f t="shared" si="0"/>
        <v>66</v>
      </c>
      <c r="M29" t="s">
        <v>260</v>
      </c>
      <c r="N29" t="s">
        <v>171</v>
      </c>
      <c r="O29" t="s">
        <v>44</v>
      </c>
      <c r="P29">
        <v>29</v>
      </c>
      <c r="Q29" t="s">
        <v>195</v>
      </c>
      <c r="R29" t="s">
        <v>230</v>
      </c>
    </row>
    <row r="30" spans="1:18">
      <c r="A30" t="s">
        <v>25</v>
      </c>
      <c r="B30" t="s">
        <v>46</v>
      </c>
      <c r="C30" t="s">
        <v>216</v>
      </c>
      <c r="D30" t="s">
        <v>47</v>
      </c>
      <c r="E30" t="s">
        <v>49</v>
      </c>
      <c r="F30" t="s">
        <v>191</v>
      </c>
      <c r="G30" t="s">
        <v>261</v>
      </c>
      <c r="H30" t="s">
        <v>262</v>
      </c>
      <c r="I30">
        <v>100.8</v>
      </c>
      <c r="J30">
        <v>20.16</v>
      </c>
      <c r="K30">
        <f>IF(J30="","",IF(J30&lt;10,'Price Rules'!$B$5,IF(J30&lt;=50,'Price Rules'!$B$6,'Price Rules'!$B$7)))</f>
        <v>4</v>
      </c>
      <c r="L30">
        <f t="shared" si="0"/>
        <v>81</v>
      </c>
      <c r="M30" t="s">
        <v>263</v>
      </c>
      <c r="N30" t="s">
        <v>171</v>
      </c>
      <c r="O30" t="s">
        <v>44</v>
      </c>
      <c r="P30">
        <v>30</v>
      </c>
      <c r="Q30" t="s">
        <v>195</v>
      </c>
      <c r="R30" t="s">
        <v>230</v>
      </c>
    </row>
    <row r="31" spans="1:18">
      <c r="A31" t="s">
        <v>25</v>
      </c>
      <c r="B31" t="s">
        <v>46</v>
      </c>
      <c r="C31" t="s">
        <v>220</v>
      </c>
      <c r="D31" t="s">
        <v>47</v>
      </c>
      <c r="E31" t="s">
        <v>49</v>
      </c>
      <c r="F31" t="s">
        <v>191</v>
      </c>
      <c r="G31" t="s">
        <v>264</v>
      </c>
      <c r="H31" t="s">
        <v>265</v>
      </c>
      <c r="I31">
        <v>123.8</v>
      </c>
      <c r="J31">
        <v>24.76</v>
      </c>
      <c r="K31">
        <f>IF(J31="","",IF(J31&lt;10,'Price Rules'!$B$5,IF(J31&lt;=50,'Price Rules'!$B$6,'Price Rules'!$B$7)))</f>
        <v>4</v>
      </c>
      <c r="L31">
        <f t="shared" si="0"/>
        <v>99</v>
      </c>
      <c r="M31" t="s">
        <v>266</v>
      </c>
      <c r="N31" t="s">
        <v>171</v>
      </c>
      <c r="O31" t="s">
        <v>44</v>
      </c>
      <c r="P31">
        <v>31</v>
      </c>
      <c r="Q31" t="s">
        <v>195</v>
      </c>
      <c r="R31" t="s">
        <v>230</v>
      </c>
    </row>
    <row r="32" spans="1:18">
      <c r="A32" t="s">
        <v>25</v>
      </c>
      <c r="B32" t="s">
        <v>46</v>
      </c>
      <c r="C32" t="s">
        <v>224</v>
      </c>
      <c r="D32" t="s">
        <v>47</v>
      </c>
      <c r="E32" t="s">
        <v>49</v>
      </c>
      <c r="F32" t="s">
        <v>191</v>
      </c>
      <c r="G32" t="s">
        <v>267</v>
      </c>
      <c r="H32" t="s">
        <v>268</v>
      </c>
      <c r="I32">
        <v>149.9</v>
      </c>
      <c r="J32">
        <v>29.98</v>
      </c>
      <c r="K32">
        <f>IF(J32="","",IF(J32&lt;10,'Price Rules'!$B$5,IF(J32&lt;=50,'Price Rules'!$B$6,'Price Rules'!$B$7)))</f>
        <v>4</v>
      </c>
      <c r="L32">
        <f t="shared" si="0"/>
        <v>120</v>
      </c>
      <c r="M32" t="s">
        <v>269</v>
      </c>
      <c r="N32" t="s">
        <v>171</v>
      </c>
      <c r="O32" t="s">
        <v>44</v>
      </c>
      <c r="P32">
        <v>32</v>
      </c>
      <c r="Q32" t="s">
        <v>195</v>
      </c>
      <c r="R32" t="s">
        <v>230</v>
      </c>
    </row>
    <row r="33" spans="1:18">
      <c r="A33" t="s">
        <v>25</v>
      </c>
      <c r="B33" t="s">
        <v>50</v>
      </c>
      <c r="C33" t="s">
        <v>167</v>
      </c>
      <c r="D33" t="s">
        <v>51</v>
      </c>
      <c r="E33" t="s">
        <v>53</v>
      </c>
      <c r="F33" t="s">
        <v>168</v>
      </c>
      <c r="G33" t="s">
        <v>270</v>
      </c>
      <c r="H33" t="s">
        <v>271</v>
      </c>
      <c r="I33">
        <v>11.45</v>
      </c>
      <c r="J33">
        <v>2.29</v>
      </c>
      <c r="K33">
        <f>IF(J33="","",IF(J33&lt;10,'Price Rules'!$B$5,IF(J33&lt;=50,'Price Rules'!$B$6,'Price Rules'!$B$7)))</f>
        <v>5</v>
      </c>
      <c r="L33">
        <f t="shared" si="0"/>
        <v>11</v>
      </c>
      <c r="M33" t="s">
        <v>52</v>
      </c>
      <c r="N33" t="s">
        <v>171</v>
      </c>
      <c r="O33" t="s">
        <v>44</v>
      </c>
      <c r="P33">
        <v>35</v>
      </c>
      <c r="Q33" t="s">
        <v>172</v>
      </c>
      <c r="R33" t="s">
        <v>272</v>
      </c>
    </row>
    <row r="34" spans="1:18">
      <c r="A34" t="s">
        <v>25</v>
      </c>
      <c r="B34" t="s">
        <v>50</v>
      </c>
      <c r="C34" t="s">
        <v>174</v>
      </c>
      <c r="D34" t="s">
        <v>51</v>
      </c>
      <c r="E34" t="s">
        <v>53</v>
      </c>
      <c r="F34" t="s">
        <v>168</v>
      </c>
      <c r="G34" t="s">
        <v>273</v>
      </c>
      <c r="H34" t="s">
        <v>271</v>
      </c>
      <c r="I34">
        <v>12.9</v>
      </c>
      <c r="J34">
        <v>2.58</v>
      </c>
      <c r="K34">
        <f>IF(J34="","",IF(J34&lt;10,'Price Rules'!$B$5,IF(J34&lt;=50,'Price Rules'!$B$6,'Price Rules'!$B$7)))</f>
        <v>5</v>
      </c>
      <c r="L34">
        <f t="shared" si="0"/>
        <v>13</v>
      </c>
      <c r="M34" t="s">
        <v>274</v>
      </c>
      <c r="N34" t="s">
        <v>171</v>
      </c>
      <c r="O34" t="s">
        <v>44</v>
      </c>
      <c r="P34">
        <v>36</v>
      </c>
      <c r="Q34" t="s">
        <v>172</v>
      </c>
      <c r="R34" t="s">
        <v>272</v>
      </c>
    </row>
    <row r="35" spans="1:18">
      <c r="A35" t="s">
        <v>25</v>
      </c>
      <c r="B35" t="s">
        <v>50</v>
      </c>
      <c r="C35" t="s">
        <v>178</v>
      </c>
      <c r="D35" t="s">
        <v>51</v>
      </c>
      <c r="E35" t="s">
        <v>53</v>
      </c>
      <c r="F35" t="s">
        <v>168</v>
      </c>
      <c r="G35" t="s">
        <v>275</v>
      </c>
      <c r="H35" t="s">
        <v>271</v>
      </c>
      <c r="I35">
        <v>14.9</v>
      </c>
      <c r="J35">
        <v>2.98</v>
      </c>
      <c r="K35">
        <f>IF(J35="","",IF(J35&lt;10,'Price Rules'!$B$5,IF(J35&lt;=50,'Price Rules'!$B$6,'Price Rules'!$B$7)))</f>
        <v>5</v>
      </c>
      <c r="L35">
        <f t="shared" si="0"/>
        <v>15</v>
      </c>
      <c r="M35" t="s">
        <v>276</v>
      </c>
      <c r="N35" t="s">
        <v>171</v>
      </c>
      <c r="O35" t="s">
        <v>44</v>
      </c>
      <c r="P35">
        <v>37</v>
      </c>
      <c r="Q35" t="s">
        <v>172</v>
      </c>
      <c r="R35" t="s">
        <v>272</v>
      </c>
    </row>
    <row r="36" spans="1:18">
      <c r="A36" t="s">
        <v>25</v>
      </c>
      <c r="B36" t="s">
        <v>50</v>
      </c>
      <c r="C36" t="s">
        <v>182</v>
      </c>
      <c r="D36" t="s">
        <v>51</v>
      </c>
      <c r="E36" t="s">
        <v>53</v>
      </c>
      <c r="F36" t="s">
        <v>168</v>
      </c>
      <c r="G36" t="s">
        <v>277</v>
      </c>
      <c r="H36" t="s">
        <v>271</v>
      </c>
      <c r="I36">
        <v>18.9</v>
      </c>
      <c r="J36">
        <v>3.78</v>
      </c>
      <c r="K36">
        <f>IF(J36="","",IF(J36&lt;10,'Price Rules'!$B$5,IF(J36&lt;=50,'Price Rules'!$B$6,'Price Rules'!$B$7)))</f>
        <v>5</v>
      </c>
      <c r="L36">
        <f t="shared" si="0"/>
        <v>19</v>
      </c>
      <c r="M36" t="s">
        <v>278</v>
      </c>
      <c r="N36" t="s">
        <v>171</v>
      </c>
      <c r="O36" t="s">
        <v>44</v>
      </c>
      <c r="P36">
        <v>38</v>
      </c>
      <c r="Q36" t="s">
        <v>172</v>
      </c>
      <c r="R36" t="s">
        <v>272</v>
      </c>
    </row>
    <row r="37" spans="1:18">
      <c r="A37" t="s">
        <v>25</v>
      </c>
      <c r="B37" t="s">
        <v>50</v>
      </c>
      <c r="C37" t="s">
        <v>186</v>
      </c>
      <c r="D37" t="s">
        <v>51</v>
      </c>
      <c r="E37" t="s">
        <v>53</v>
      </c>
      <c r="F37" t="s">
        <v>168</v>
      </c>
      <c r="G37" t="s">
        <v>279</v>
      </c>
      <c r="H37" t="s">
        <v>271</v>
      </c>
      <c r="I37">
        <v>20.85</v>
      </c>
      <c r="J37">
        <v>4.17</v>
      </c>
      <c r="K37">
        <f>IF(J37="","",IF(J37&lt;10,'Price Rules'!$B$5,IF(J37&lt;=50,'Price Rules'!$B$6,'Price Rules'!$B$7)))</f>
        <v>5</v>
      </c>
      <c r="L37">
        <f t="shared" si="0"/>
        <v>21</v>
      </c>
      <c r="M37" t="s">
        <v>280</v>
      </c>
      <c r="N37" t="s">
        <v>171</v>
      </c>
      <c r="O37" t="s">
        <v>44</v>
      </c>
      <c r="P37">
        <v>39</v>
      </c>
      <c r="Q37" t="s">
        <v>172</v>
      </c>
      <c r="R37" t="s">
        <v>272</v>
      </c>
    </row>
    <row r="38" spans="1:18">
      <c r="A38" t="s">
        <v>25</v>
      </c>
      <c r="B38" t="s">
        <v>50</v>
      </c>
      <c r="C38" t="s">
        <v>190</v>
      </c>
      <c r="D38" t="s">
        <v>51</v>
      </c>
      <c r="E38" t="s">
        <v>53</v>
      </c>
      <c r="F38" t="s">
        <v>191</v>
      </c>
      <c r="G38" t="s">
        <v>281</v>
      </c>
      <c r="H38" t="s">
        <v>271</v>
      </c>
      <c r="I38">
        <v>26.9</v>
      </c>
      <c r="J38">
        <v>5.38</v>
      </c>
      <c r="K38">
        <f>IF(J38="","",IF(J38&lt;10,'Price Rules'!$B$5,IF(J38&lt;=50,'Price Rules'!$B$6,'Price Rules'!$B$7)))</f>
        <v>5</v>
      </c>
      <c r="L38">
        <f t="shared" si="0"/>
        <v>27</v>
      </c>
      <c r="M38" t="s">
        <v>282</v>
      </c>
      <c r="N38" t="s">
        <v>171</v>
      </c>
      <c r="O38" t="s">
        <v>44</v>
      </c>
      <c r="P38">
        <v>40</v>
      </c>
      <c r="Q38" t="s">
        <v>195</v>
      </c>
      <c r="R38" t="s">
        <v>272</v>
      </c>
    </row>
    <row r="39" spans="1:18">
      <c r="A39" t="s">
        <v>25</v>
      </c>
      <c r="B39" t="s">
        <v>50</v>
      </c>
      <c r="C39" t="s">
        <v>196</v>
      </c>
      <c r="D39" t="s">
        <v>51</v>
      </c>
      <c r="E39" t="s">
        <v>53</v>
      </c>
      <c r="F39" t="s">
        <v>191</v>
      </c>
      <c r="G39" t="s">
        <v>283</v>
      </c>
      <c r="H39" t="s">
        <v>271</v>
      </c>
      <c r="I39">
        <v>35.9</v>
      </c>
      <c r="J39">
        <v>7.18</v>
      </c>
      <c r="K39">
        <f>IF(J39="","",IF(J39&lt;10,'Price Rules'!$B$5,IF(J39&lt;=50,'Price Rules'!$B$6,'Price Rules'!$B$7)))</f>
        <v>5</v>
      </c>
      <c r="L39">
        <f t="shared" si="0"/>
        <v>36</v>
      </c>
      <c r="M39" t="s">
        <v>284</v>
      </c>
      <c r="N39" t="s">
        <v>171</v>
      </c>
      <c r="O39" t="s">
        <v>44</v>
      </c>
      <c r="P39">
        <v>41</v>
      </c>
      <c r="Q39" t="s">
        <v>195</v>
      </c>
      <c r="R39" t="s">
        <v>272</v>
      </c>
    </row>
    <row r="40" spans="1:18">
      <c r="A40" t="s">
        <v>25</v>
      </c>
      <c r="B40" t="s">
        <v>50</v>
      </c>
      <c r="C40" t="s">
        <v>200</v>
      </c>
      <c r="D40" t="s">
        <v>51</v>
      </c>
      <c r="E40" t="s">
        <v>53</v>
      </c>
      <c r="F40" t="s">
        <v>191</v>
      </c>
      <c r="G40" t="s">
        <v>285</v>
      </c>
      <c r="H40" t="s">
        <v>271</v>
      </c>
      <c r="I40">
        <v>39.9</v>
      </c>
      <c r="J40">
        <v>7.98</v>
      </c>
      <c r="K40">
        <f>IF(J40="","",IF(J40&lt;10,'Price Rules'!$B$5,IF(J40&lt;=50,'Price Rules'!$B$6,'Price Rules'!$B$7)))</f>
        <v>5</v>
      </c>
      <c r="L40">
        <f t="shared" si="0"/>
        <v>40</v>
      </c>
      <c r="M40" t="s">
        <v>286</v>
      </c>
      <c r="N40" t="s">
        <v>171</v>
      </c>
      <c r="O40" t="s">
        <v>44</v>
      </c>
      <c r="P40">
        <v>42</v>
      </c>
      <c r="Q40" t="s">
        <v>195</v>
      </c>
      <c r="R40" t="s">
        <v>272</v>
      </c>
    </row>
    <row r="41" spans="1:18">
      <c r="A41" t="s">
        <v>25</v>
      </c>
      <c r="B41" t="s">
        <v>50</v>
      </c>
      <c r="C41" t="s">
        <v>204</v>
      </c>
      <c r="D41" t="s">
        <v>51</v>
      </c>
      <c r="E41" t="s">
        <v>53</v>
      </c>
      <c r="F41" t="s">
        <v>191</v>
      </c>
      <c r="G41" t="s">
        <v>287</v>
      </c>
      <c r="H41" t="s">
        <v>271</v>
      </c>
      <c r="I41">
        <v>48.9</v>
      </c>
      <c r="J41">
        <v>9.78</v>
      </c>
      <c r="K41">
        <f>IF(J41="","",IF(J41&lt;10,'Price Rules'!$B$5,IF(J41&lt;=50,'Price Rules'!$B$6,'Price Rules'!$B$7)))</f>
        <v>5</v>
      </c>
      <c r="L41">
        <f t="shared" si="0"/>
        <v>49</v>
      </c>
      <c r="M41" t="s">
        <v>288</v>
      </c>
      <c r="N41" t="s">
        <v>171</v>
      </c>
      <c r="O41" t="s">
        <v>44</v>
      </c>
      <c r="P41">
        <v>43</v>
      </c>
      <c r="Q41" t="s">
        <v>195</v>
      </c>
      <c r="R41" t="s">
        <v>272</v>
      </c>
    </row>
    <row r="42" spans="1:18">
      <c r="A42" t="s">
        <v>25</v>
      </c>
      <c r="B42" t="s">
        <v>50</v>
      </c>
      <c r="C42" t="s">
        <v>208</v>
      </c>
      <c r="D42" t="s">
        <v>51</v>
      </c>
      <c r="E42" t="s">
        <v>53</v>
      </c>
      <c r="F42" t="s">
        <v>191</v>
      </c>
      <c r="G42" t="s">
        <v>289</v>
      </c>
      <c r="H42" t="s">
        <v>271</v>
      </c>
      <c r="I42">
        <v>72.5</v>
      </c>
      <c r="J42">
        <v>14.5</v>
      </c>
      <c r="K42">
        <f>IF(J42="","",IF(J42&lt;10,'Price Rules'!$B$5,IF(J42&lt;=50,'Price Rules'!$B$6,'Price Rules'!$B$7)))</f>
        <v>4</v>
      </c>
      <c r="L42">
        <f t="shared" si="0"/>
        <v>58</v>
      </c>
      <c r="M42" t="s">
        <v>290</v>
      </c>
      <c r="N42" t="s">
        <v>171</v>
      </c>
      <c r="O42" t="s">
        <v>44</v>
      </c>
      <c r="P42">
        <v>44</v>
      </c>
      <c r="Q42" t="s">
        <v>195</v>
      </c>
      <c r="R42" t="s">
        <v>272</v>
      </c>
    </row>
    <row r="43" spans="1:18">
      <c r="A43" t="s">
        <v>25</v>
      </c>
      <c r="B43" t="s">
        <v>50</v>
      </c>
      <c r="C43" t="s">
        <v>212</v>
      </c>
      <c r="D43" t="s">
        <v>51</v>
      </c>
      <c r="E43" t="s">
        <v>53</v>
      </c>
      <c r="F43" t="s">
        <v>191</v>
      </c>
      <c r="G43" t="s">
        <v>291</v>
      </c>
      <c r="H43" t="s">
        <v>271</v>
      </c>
      <c r="I43">
        <v>82.8</v>
      </c>
      <c r="J43">
        <v>16.56</v>
      </c>
      <c r="K43">
        <f>IF(J43="","",IF(J43&lt;10,'Price Rules'!$B$5,IF(J43&lt;=50,'Price Rules'!$B$6,'Price Rules'!$B$7)))</f>
        <v>4</v>
      </c>
      <c r="L43">
        <f t="shared" si="0"/>
        <v>66</v>
      </c>
      <c r="M43" t="s">
        <v>292</v>
      </c>
      <c r="N43" t="s">
        <v>171</v>
      </c>
      <c r="O43" t="s">
        <v>44</v>
      </c>
      <c r="P43">
        <v>45</v>
      </c>
      <c r="Q43" t="s">
        <v>195</v>
      </c>
      <c r="R43" t="s">
        <v>272</v>
      </c>
    </row>
    <row r="44" spans="1:18">
      <c r="A44" t="s">
        <v>25</v>
      </c>
      <c r="B44" t="s">
        <v>50</v>
      </c>
      <c r="C44" t="s">
        <v>216</v>
      </c>
      <c r="D44" t="s">
        <v>51</v>
      </c>
      <c r="E44" t="s">
        <v>53</v>
      </c>
      <c r="F44" t="s">
        <v>191</v>
      </c>
      <c r="G44" t="s">
        <v>293</v>
      </c>
      <c r="H44" t="s">
        <v>271</v>
      </c>
      <c r="I44">
        <v>100.8</v>
      </c>
      <c r="J44">
        <v>20.16</v>
      </c>
      <c r="K44">
        <f>IF(J44="","",IF(J44&lt;10,'Price Rules'!$B$5,IF(J44&lt;=50,'Price Rules'!$B$6,'Price Rules'!$B$7)))</f>
        <v>4</v>
      </c>
      <c r="L44">
        <f t="shared" si="0"/>
        <v>81</v>
      </c>
      <c r="M44" t="s">
        <v>294</v>
      </c>
      <c r="N44" t="s">
        <v>171</v>
      </c>
      <c r="O44" t="s">
        <v>44</v>
      </c>
      <c r="P44">
        <v>46</v>
      </c>
      <c r="Q44" t="s">
        <v>195</v>
      </c>
      <c r="R44" t="s">
        <v>272</v>
      </c>
    </row>
    <row r="45" spans="1:18">
      <c r="A45" t="s">
        <v>25</v>
      </c>
      <c r="B45" t="s">
        <v>50</v>
      </c>
      <c r="C45" t="s">
        <v>220</v>
      </c>
      <c r="D45" t="s">
        <v>51</v>
      </c>
      <c r="E45" t="s">
        <v>53</v>
      </c>
      <c r="F45" t="s">
        <v>191</v>
      </c>
      <c r="G45" t="s">
        <v>295</v>
      </c>
      <c r="H45" t="s">
        <v>271</v>
      </c>
      <c r="I45">
        <v>123.8</v>
      </c>
      <c r="J45">
        <v>24.76</v>
      </c>
      <c r="K45">
        <f>IF(J45="","",IF(J45&lt;10,'Price Rules'!$B$5,IF(J45&lt;=50,'Price Rules'!$B$6,'Price Rules'!$B$7)))</f>
        <v>4</v>
      </c>
      <c r="L45">
        <f t="shared" si="0"/>
        <v>99</v>
      </c>
      <c r="M45" t="s">
        <v>296</v>
      </c>
      <c r="N45" t="s">
        <v>171</v>
      </c>
      <c r="O45" t="s">
        <v>44</v>
      </c>
      <c r="P45">
        <v>47</v>
      </c>
      <c r="Q45" t="s">
        <v>195</v>
      </c>
      <c r="R45" t="s">
        <v>272</v>
      </c>
    </row>
    <row r="46" spans="1:18">
      <c r="A46" t="s">
        <v>25</v>
      </c>
      <c r="B46" t="s">
        <v>50</v>
      </c>
      <c r="C46" t="s">
        <v>224</v>
      </c>
      <c r="D46" t="s">
        <v>51</v>
      </c>
      <c r="E46" t="s">
        <v>53</v>
      </c>
      <c r="F46" t="s">
        <v>191</v>
      </c>
      <c r="G46" t="s">
        <v>297</v>
      </c>
      <c r="H46" t="s">
        <v>271</v>
      </c>
      <c r="I46">
        <v>149.9</v>
      </c>
      <c r="J46">
        <v>29.98</v>
      </c>
      <c r="K46">
        <f>IF(J46="","",IF(J46&lt;10,'Price Rules'!$B$5,IF(J46&lt;=50,'Price Rules'!$B$6,'Price Rules'!$B$7)))</f>
        <v>4</v>
      </c>
      <c r="L46">
        <f t="shared" si="0"/>
        <v>120</v>
      </c>
      <c r="M46" t="s">
        <v>298</v>
      </c>
      <c r="N46" t="s">
        <v>171</v>
      </c>
      <c r="O46" t="s">
        <v>44</v>
      </c>
      <c r="P46">
        <v>48</v>
      </c>
      <c r="Q46" t="s">
        <v>195</v>
      </c>
      <c r="R46" t="s">
        <v>272</v>
      </c>
    </row>
    <row r="47" spans="1:18">
      <c r="A47" t="s">
        <v>25</v>
      </c>
      <c r="B47" t="s">
        <v>54</v>
      </c>
      <c r="C47" t="s">
        <v>167</v>
      </c>
      <c r="D47" t="s">
        <v>55</v>
      </c>
      <c r="E47" t="s">
        <v>57</v>
      </c>
      <c r="F47" t="s">
        <v>168</v>
      </c>
      <c r="G47" t="s">
        <v>299</v>
      </c>
      <c r="H47" t="s">
        <v>271</v>
      </c>
      <c r="I47">
        <v>11.45</v>
      </c>
      <c r="J47">
        <v>2.29</v>
      </c>
      <c r="K47">
        <f>IF(J47="","",IF(J47&lt;10,'Price Rules'!$B$5,IF(J47&lt;=50,'Price Rules'!$B$6,'Price Rules'!$B$7)))</f>
        <v>5</v>
      </c>
      <c r="L47">
        <f t="shared" si="0"/>
        <v>11</v>
      </c>
      <c r="M47" t="s">
        <v>56</v>
      </c>
      <c r="N47" t="s">
        <v>171</v>
      </c>
      <c r="O47" t="s">
        <v>44</v>
      </c>
      <c r="P47">
        <v>51</v>
      </c>
      <c r="Q47" t="s">
        <v>172</v>
      </c>
      <c r="R47" t="s">
        <v>300</v>
      </c>
    </row>
    <row r="48" spans="1:18">
      <c r="A48" t="s">
        <v>25</v>
      </c>
      <c r="B48" t="s">
        <v>54</v>
      </c>
      <c r="C48" t="s">
        <v>174</v>
      </c>
      <c r="D48" t="s">
        <v>55</v>
      </c>
      <c r="E48" t="s">
        <v>57</v>
      </c>
      <c r="F48" t="s">
        <v>168</v>
      </c>
      <c r="G48" t="s">
        <v>301</v>
      </c>
      <c r="H48" t="s">
        <v>271</v>
      </c>
      <c r="I48">
        <v>12.9</v>
      </c>
      <c r="J48">
        <v>2.58</v>
      </c>
      <c r="K48">
        <f>IF(J48="","",IF(J48&lt;10,'Price Rules'!$B$5,IF(J48&lt;=50,'Price Rules'!$B$6,'Price Rules'!$B$7)))</f>
        <v>5</v>
      </c>
      <c r="L48">
        <f t="shared" si="0"/>
        <v>13</v>
      </c>
      <c r="M48" t="s">
        <v>302</v>
      </c>
      <c r="N48" t="s">
        <v>171</v>
      </c>
      <c r="O48" t="s">
        <v>44</v>
      </c>
      <c r="P48">
        <v>52</v>
      </c>
      <c r="Q48" t="s">
        <v>172</v>
      </c>
      <c r="R48" t="s">
        <v>300</v>
      </c>
    </row>
    <row r="49" spans="1:18">
      <c r="A49" t="s">
        <v>25</v>
      </c>
      <c r="B49" t="s">
        <v>54</v>
      </c>
      <c r="C49" t="s">
        <v>178</v>
      </c>
      <c r="D49" t="s">
        <v>55</v>
      </c>
      <c r="E49" t="s">
        <v>57</v>
      </c>
      <c r="F49" t="s">
        <v>168</v>
      </c>
      <c r="G49" t="s">
        <v>303</v>
      </c>
      <c r="H49" t="s">
        <v>271</v>
      </c>
      <c r="I49">
        <v>14.9</v>
      </c>
      <c r="J49">
        <v>2.98</v>
      </c>
      <c r="K49">
        <f>IF(J49="","",IF(J49&lt;10,'Price Rules'!$B$5,IF(J49&lt;=50,'Price Rules'!$B$6,'Price Rules'!$B$7)))</f>
        <v>5</v>
      </c>
      <c r="L49">
        <f t="shared" si="0"/>
        <v>15</v>
      </c>
      <c r="M49" t="s">
        <v>304</v>
      </c>
      <c r="N49" t="s">
        <v>171</v>
      </c>
      <c r="O49" t="s">
        <v>44</v>
      </c>
      <c r="P49">
        <v>53</v>
      </c>
      <c r="Q49" t="s">
        <v>172</v>
      </c>
      <c r="R49" t="s">
        <v>300</v>
      </c>
    </row>
    <row r="50" spans="1:18">
      <c r="A50" t="s">
        <v>25</v>
      </c>
      <c r="B50" t="s">
        <v>54</v>
      </c>
      <c r="C50" t="s">
        <v>182</v>
      </c>
      <c r="D50" t="s">
        <v>55</v>
      </c>
      <c r="E50" t="s">
        <v>57</v>
      </c>
      <c r="F50" t="s">
        <v>168</v>
      </c>
      <c r="G50" t="s">
        <v>305</v>
      </c>
      <c r="H50" t="s">
        <v>271</v>
      </c>
      <c r="I50">
        <v>18.9</v>
      </c>
      <c r="J50">
        <v>3.78</v>
      </c>
      <c r="K50">
        <f>IF(J50="","",IF(J50&lt;10,'Price Rules'!$B$5,IF(J50&lt;=50,'Price Rules'!$B$6,'Price Rules'!$B$7)))</f>
        <v>5</v>
      </c>
      <c r="L50">
        <f t="shared" si="0"/>
        <v>19</v>
      </c>
      <c r="M50" t="s">
        <v>306</v>
      </c>
      <c r="N50" t="s">
        <v>171</v>
      </c>
      <c r="O50" t="s">
        <v>44</v>
      </c>
      <c r="P50">
        <v>54</v>
      </c>
      <c r="Q50" t="s">
        <v>172</v>
      </c>
      <c r="R50" t="s">
        <v>300</v>
      </c>
    </row>
    <row r="51" spans="1:18">
      <c r="A51" t="s">
        <v>25</v>
      </c>
      <c r="B51" t="s">
        <v>54</v>
      </c>
      <c r="C51" t="s">
        <v>186</v>
      </c>
      <c r="D51" t="s">
        <v>55</v>
      </c>
      <c r="E51" t="s">
        <v>57</v>
      </c>
      <c r="F51" t="s">
        <v>168</v>
      </c>
      <c r="G51" t="s">
        <v>307</v>
      </c>
      <c r="H51" t="s">
        <v>271</v>
      </c>
      <c r="I51">
        <v>20.85</v>
      </c>
      <c r="J51">
        <v>4.17</v>
      </c>
      <c r="K51">
        <f>IF(J51="","",IF(J51&lt;10,'Price Rules'!$B$5,IF(J51&lt;=50,'Price Rules'!$B$6,'Price Rules'!$B$7)))</f>
        <v>5</v>
      </c>
      <c r="L51">
        <f t="shared" si="0"/>
        <v>21</v>
      </c>
      <c r="M51" t="s">
        <v>308</v>
      </c>
      <c r="N51" t="s">
        <v>171</v>
      </c>
      <c r="O51" t="s">
        <v>44</v>
      </c>
      <c r="P51">
        <v>55</v>
      </c>
      <c r="Q51" t="s">
        <v>172</v>
      </c>
      <c r="R51" t="s">
        <v>300</v>
      </c>
    </row>
    <row r="52" spans="1:18">
      <c r="A52" t="s">
        <v>25</v>
      </c>
      <c r="B52" t="s">
        <v>54</v>
      </c>
      <c r="C52" t="s">
        <v>190</v>
      </c>
      <c r="D52" t="s">
        <v>55</v>
      </c>
      <c r="E52" t="s">
        <v>57</v>
      </c>
      <c r="F52" t="s">
        <v>191</v>
      </c>
      <c r="G52" t="s">
        <v>309</v>
      </c>
      <c r="H52" t="s">
        <v>271</v>
      </c>
      <c r="I52">
        <v>26.9</v>
      </c>
      <c r="J52">
        <v>5.38</v>
      </c>
      <c r="K52">
        <f>IF(J52="","",IF(J52&lt;10,'Price Rules'!$B$5,IF(J52&lt;=50,'Price Rules'!$B$6,'Price Rules'!$B$7)))</f>
        <v>5</v>
      </c>
      <c r="L52">
        <f t="shared" si="0"/>
        <v>27</v>
      </c>
      <c r="M52" t="s">
        <v>310</v>
      </c>
      <c r="N52" t="s">
        <v>171</v>
      </c>
      <c r="O52" t="s">
        <v>44</v>
      </c>
      <c r="P52">
        <v>56</v>
      </c>
      <c r="Q52" t="s">
        <v>195</v>
      </c>
      <c r="R52" t="s">
        <v>300</v>
      </c>
    </row>
    <row r="53" spans="1:18">
      <c r="A53" t="s">
        <v>25</v>
      </c>
      <c r="B53" t="s">
        <v>54</v>
      </c>
      <c r="C53" t="s">
        <v>196</v>
      </c>
      <c r="D53" t="s">
        <v>55</v>
      </c>
      <c r="E53" t="s">
        <v>57</v>
      </c>
      <c r="F53" t="s">
        <v>191</v>
      </c>
      <c r="G53" t="s">
        <v>311</v>
      </c>
      <c r="H53" t="s">
        <v>271</v>
      </c>
      <c r="I53">
        <v>35.9</v>
      </c>
      <c r="J53">
        <v>7.18</v>
      </c>
      <c r="K53">
        <f>IF(J53="","",IF(J53&lt;10,'Price Rules'!$B$5,IF(J53&lt;=50,'Price Rules'!$B$6,'Price Rules'!$B$7)))</f>
        <v>5</v>
      </c>
      <c r="L53">
        <f t="shared" si="0"/>
        <v>36</v>
      </c>
      <c r="M53" t="s">
        <v>312</v>
      </c>
      <c r="N53" t="s">
        <v>171</v>
      </c>
      <c r="O53" t="s">
        <v>44</v>
      </c>
      <c r="P53">
        <v>57</v>
      </c>
      <c r="Q53" t="s">
        <v>195</v>
      </c>
      <c r="R53" t="s">
        <v>300</v>
      </c>
    </row>
    <row r="54" spans="1:18">
      <c r="A54" t="s">
        <v>25</v>
      </c>
      <c r="B54" t="s">
        <v>54</v>
      </c>
      <c r="C54" t="s">
        <v>200</v>
      </c>
      <c r="D54" t="s">
        <v>55</v>
      </c>
      <c r="E54" t="s">
        <v>57</v>
      </c>
      <c r="F54" t="s">
        <v>191</v>
      </c>
      <c r="G54" t="s">
        <v>313</v>
      </c>
      <c r="H54" t="s">
        <v>271</v>
      </c>
      <c r="I54">
        <v>39.9</v>
      </c>
      <c r="J54">
        <v>7.98</v>
      </c>
      <c r="K54">
        <f>IF(J54="","",IF(J54&lt;10,'Price Rules'!$B$5,IF(J54&lt;=50,'Price Rules'!$B$6,'Price Rules'!$B$7)))</f>
        <v>5</v>
      </c>
      <c r="L54">
        <f t="shared" si="0"/>
        <v>40</v>
      </c>
      <c r="M54" t="s">
        <v>314</v>
      </c>
      <c r="N54" t="s">
        <v>171</v>
      </c>
      <c r="O54" t="s">
        <v>44</v>
      </c>
      <c r="P54">
        <v>58</v>
      </c>
      <c r="Q54" t="s">
        <v>195</v>
      </c>
      <c r="R54" t="s">
        <v>300</v>
      </c>
    </row>
    <row r="55" spans="1:18">
      <c r="A55" t="s">
        <v>25</v>
      </c>
      <c r="B55" t="s">
        <v>54</v>
      </c>
      <c r="C55" t="s">
        <v>204</v>
      </c>
      <c r="D55" t="s">
        <v>55</v>
      </c>
      <c r="E55" t="s">
        <v>57</v>
      </c>
      <c r="F55" t="s">
        <v>191</v>
      </c>
      <c r="G55" t="s">
        <v>315</v>
      </c>
      <c r="H55" t="s">
        <v>271</v>
      </c>
      <c r="I55">
        <v>48.9</v>
      </c>
      <c r="J55">
        <v>9.78</v>
      </c>
      <c r="K55">
        <f>IF(J55="","",IF(J55&lt;10,'Price Rules'!$B$5,IF(J55&lt;=50,'Price Rules'!$B$6,'Price Rules'!$B$7)))</f>
        <v>5</v>
      </c>
      <c r="L55">
        <f t="shared" si="0"/>
        <v>49</v>
      </c>
      <c r="M55" t="s">
        <v>316</v>
      </c>
      <c r="N55" t="s">
        <v>171</v>
      </c>
      <c r="O55" t="s">
        <v>44</v>
      </c>
      <c r="P55">
        <v>59</v>
      </c>
      <c r="Q55" t="s">
        <v>195</v>
      </c>
      <c r="R55" t="s">
        <v>300</v>
      </c>
    </row>
    <row r="56" spans="1:18">
      <c r="A56" t="s">
        <v>25</v>
      </c>
      <c r="B56" t="s">
        <v>54</v>
      </c>
      <c r="C56" t="s">
        <v>208</v>
      </c>
      <c r="D56" t="s">
        <v>55</v>
      </c>
      <c r="E56" t="s">
        <v>57</v>
      </c>
      <c r="F56" t="s">
        <v>191</v>
      </c>
      <c r="G56" t="s">
        <v>317</v>
      </c>
      <c r="H56" t="s">
        <v>271</v>
      </c>
      <c r="I56">
        <v>72.5</v>
      </c>
      <c r="J56">
        <v>14.5</v>
      </c>
      <c r="K56">
        <f>IF(J56="","",IF(J56&lt;10,'Price Rules'!$B$5,IF(J56&lt;=50,'Price Rules'!$B$6,'Price Rules'!$B$7)))</f>
        <v>4</v>
      </c>
      <c r="L56">
        <f t="shared" si="0"/>
        <v>58</v>
      </c>
      <c r="M56" t="s">
        <v>318</v>
      </c>
      <c r="N56" t="s">
        <v>171</v>
      </c>
      <c r="O56" t="s">
        <v>44</v>
      </c>
      <c r="P56">
        <v>60</v>
      </c>
      <c r="Q56" t="s">
        <v>195</v>
      </c>
      <c r="R56" t="s">
        <v>300</v>
      </c>
    </row>
    <row r="57" spans="1:18">
      <c r="A57" t="s">
        <v>25</v>
      </c>
      <c r="B57" t="s">
        <v>54</v>
      </c>
      <c r="C57" t="s">
        <v>212</v>
      </c>
      <c r="D57" t="s">
        <v>55</v>
      </c>
      <c r="E57" t="s">
        <v>57</v>
      </c>
      <c r="F57" t="s">
        <v>191</v>
      </c>
      <c r="G57" t="s">
        <v>319</v>
      </c>
      <c r="H57" t="s">
        <v>271</v>
      </c>
      <c r="I57">
        <v>82.8</v>
      </c>
      <c r="J57">
        <v>16.56</v>
      </c>
      <c r="K57">
        <f>IF(J57="","",IF(J57&lt;10,'Price Rules'!$B$5,IF(J57&lt;=50,'Price Rules'!$B$6,'Price Rules'!$B$7)))</f>
        <v>4</v>
      </c>
      <c r="L57">
        <f t="shared" si="0"/>
        <v>66</v>
      </c>
      <c r="M57" t="s">
        <v>320</v>
      </c>
      <c r="N57" t="s">
        <v>171</v>
      </c>
      <c r="O57" t="s">
        <v>44</v>
      </c>
      <c r="P57">
        <v>61</v>
      </c>
      <c r="Q57" t="s">
        <v>195</v>
      </c>
      <c r="R57" t="s">
        <v>300</v>
      </c>
    </row>
    <row r="58" spans="1:18">
      <c r="A58" t="s">
        <v>25</v>
      </c>
      <c r="B58" t="s">
        <v>54</v>
      </c>
      <c r="C58" t="s">
        <v>216</v>
      </c>
      <c r="D58" t="s">
        <v>55</v>
      </c>
      <c r="E58" t="s">
        <v>57</v>
      </c>
      <c r="F58" t="s">
        <v>191</v>
      </c>
      <c r="G58" t="s">
        <v>321</v>
      </c>
      <c r="H58" t="s">
        <v>271</v>
      </c>
      <c r="I58">
        <v>100.8</v>
      </c>
      <c r="J58">
        <v>20.16</v>
      </c>
      <c r="K58">
        <f>IF(J58="","",IF(J58&lt;10,'Price Rules'!$B$5,IF(J58&lt;=50,'Price Rules'!$B$6,'Price Rules'!$B$7)))</f>
        <v>4</v>
      </c>
      <c r="L58">
        <f t="shared" si="0"/>
        <v>81</v>
      </c>
      <c r="M58" t="s">
        <v>322</v>
      </c>
      <c r="N58" t="s">
        <v>171</v>
      </c>
      <c r="O58" t="s">
        <v>44</v>
      </c>
      <c r="P58">
        <v>62</v>
      </c>
      <c r="Q58" t="s">
        <v>195</v>
      </c>
      <c r="R58" t="s">
        <v>300</v>
      </c>
    </row>
    <row r="59" spans="1:18">
      <c r="A59" t="s">
        <v>25</v>
      </c>
      <c r="B59" t="s">
        <v>54</v>
      </c>
      <c r="C59" t="s">
        <v>220</v>
      </c>
      <c r="D59" t="s">
        <v>55</v>
      </c>
      <c r="E59" t="s">
        <v>57</v>
      </c>
      <c r="F59" t="s">
        <v>191</v>
      </c>
      <c r="G59" t="s">
        <v>323</v>
      </c>
      <c r="H59" t="s">
        <v>271</v>
      </c>
      <c r="I59">
        <v>123.8</v>
      </c>
      <c r="J59">
        <v>24.76</v>
      </c>
      <c r="K59">
        <f>IF(J59="","",IF(J59&lt;10,'Price Rules'!$B$5,IF(J59&lt;=50,'Price Rules'!$B$6,'Price Rules'!$B$7)))</f>
        <v>4</v>
      </c>
      <c r="L59">
        <f t="shared" si="0"/>
        <v>99</v>
      </c>
      <c r="M59" t="s">
        <v>324</v>
      </c>
      <c r="N59" t="s">
        <v>171</v>
      </c>
      <c r="O59" t="s">
        <v>44</v>
      </c>
      <c r="P59">
        <v>63</v>
      </c>
      <c r="Q59" t="s">
        <v>195</v>
      </c>
      <c r="R59" t="s">
        <v>300</v>
      </c>
    </row>
    <row r="60" spans="1:18">
      <c r="A60" t="s">
        <v>25</v>
      </c>
      <c r="B60" t="s">
        <v>54</v>
      </c>
      <c r="C60" t="s">
        <v>224</v>
      </c>
      <c r="D60" t="s">
        <v>55</v>
      </c>
      <c r="E60" t="s">
        <v>57</v>
      </c>
      <c r="F60" t="s">
        <v>191</v>
      </c>
      <c r="G60" t="s">
        <v>325</v>
      </c>
      <c r="H60" t="s">
        <v>271</v>
      </c>
      <c r="I60">
        <v>149.9</v>
      </c>
      <c r="J60">
        <v>29.98</v>
      </c>
      <c r="K60">
        <f>IF(J60="","",IF(J60&lt;10,'Price Rules'!$B$5,IF(J60&lt;=50,'Price Rules'!$B$6,'Price Rules'!$B$7)))</f>
        <v>4</v>
      </c>
      <c r="L60">
        <f t="shared" si="0"/>
        <v>120</v>
      </c>
      <c r="M60" t="s">
        <v>326</v>
      </c>
      <c r="N60" t="s">
        <v>171</v>
      </c>
      <c r="O60" t="s">
        <v>44</v>
      </c>
      <c r="P60">
        <v>64</v>
      </c>
      <c r="Q60" t="s">
        <v>195</v>
      </c>
      <c r="R60" t="s">
        <v>300</v>
      </c>
    </row>
    <row r="61" spans="1:18">
      <c r="A61" t="s">
        <v>25</v>
      </c>
      <c r="B61" t="s">
        <v>58</v>
      </c>
      <c r="C61" t="s">
        <v>167</v>
      </c>
      <c r="D61" t="s">
        <v>59</v>
      </c>
      <c r="E61" t="s">
        <v>61</v>
      </c>
      <c r="F61" t="s">
        <v>168</v>
      </c>
      <c r="G61" t="s">
        <v>327</v>
      </c>
      <c r="H61" t="s">
        <v>271</v>
      </c>
      <c r="I61">
        <v>11.45</v>
      </c>
      <c r="J61">
        <v>2.29</v>
      </c>
      <c r="K61">
        <f>IF(J61="","",IF(J61&lt;10,'Price Rules'!$B$5,IF(J61&lt;=50,'Price Rules'!$B$6,'Price Rules'!$B$7)))</f>
        <v>5</v>
      </c>
      <c r="L61">
        <f t="shared" si="0"/>
        <v>11</v>
      </c>
      <c r="M61" t="s">
        <v>60</v>
      </c>
      <c r="N61" t="s">
        <v>171</v>
      </c>
      <c r="O61" t="s">
        <v>44</v>
      </c>
      <c r="P61">
        <v>67</v>
      </c>
      <c r="Q61" t="s">
        <v>172</v>
      </c>
      <c r="R61" t="s">
        <v>328</v>
      </c>
    </row>
    <row r="62" spans="1:18">
      <c r="A62" t="s">
        <v>25</v>
      </c>
      <c r="B62" t="s">
        <v>58</v>
      </c>
      <c r="C62" t="s">
        <v>174</v>
      </c>
      <c r="D62" t="s">
        <v>59</v>
      </c>
      <c r="E62" t="s">
        <v>61</v>
      </c>
      <c r="F62" t="s">
        <v>168</v>
      </c>
      <c r="G62" t="s">
        <v>329</v>
      </c>
      <c r="H62" t="s">
        <v>271</v>
      </c>
      <c r="I62">
        <v>12.9</v>
      </c>
      <c r="J62">
        <v>2.58</v>
      </c>
      <c r="K62">
        <f>IF(J62="","",IF(J62&lt;10,'Price Rules'!$B$5,IF(J62&lt;=50,'Price Rules'!$B$6,'Price Rules'!$B$7)))</f>
        <v>5</v>
      </c>
      <c r="L62">
        <f t="shared" si="0"/>
        <v>13</v>
      </c>
      <c r="M62" t="s">
        <v>330</v>
      </c>
      <c r="N62" t="s">
        <v>171</v>
      </c>
      <c r="O62" t="s">
        <v>44</v>
      </c>
      <c r="P62">
        <v>68</v>
      </c>
      <c r="Q62" t="s">
        <v>172</v>
      </c>
      <c r="R62" t="s">
        <v>328</v>
      </c>
    </row>
    <row r="63" spans="1:18">
      <c r="A63" t="s">
        <v>25</v>
      </c>
      <c r="B63" t="s">
        <v>58</v>
      </c>
      <c r="C63" t="s">
        <v>178</v>
      </c>
      <c r="D63" t="s">
        <v>59</v>
      </c>
      <c r="E63" t="s">
        <v>61</v>
      </c>
      <c r="F63" t="s">
        <v>168</v>
      </c>
      <c r="G63" t="s">
        <v>331</v>
      </c>
      <c r="H63" t="s">
        <v>271</v>
      </c>
      <c r="I63">
        <v>14.9</v>
      </c>
      <c r="J63">
        <v>2.98</v>
      </c>
      <c r="K63">
        <f>IF(J63="","",IF(J63&lt;10,'Price Rules'!$B$5,IF(J63&lt;=50,'Price Rules'!$B$6,'Price Rules'!$B$7)))</f>
        <v>5</v>
      </c>
      <c r="L63">
        <f t="shared" si="0"/>
        <v>15</v>
      </c>
      <c r="M63" t="s">
        <v>332</v>
      </c>
      <c r="N63" t="s">
        <v>171</v>
      </c>
      <c r="O63" t="s">
        <v>44</v>
      </c>
      <c r="P63">
        <v>69</v>
      </c>
      <c r="Q63" t="s">
        <v>172</v>
      </c>
      <c r="R63" t="s">
        <v>328</v>
      </c>
    </row>
    <row r="64" spans="1:18">
      <c r="A64" t="s">
        <v>25</v>
      </c>
      <c r="B64" t="s">
        <v>58</v>
      </c>
      <c r="C64" t="s">
        <v>182</v>
      </c>
      <c r="D64" t="s">
        <v>59</v>
      </c>
      <c r="E64" t="s">
        <v>61</v>
      </c>
      <c r="F64" t="s">
        <v>168</v>
      </c>
      <c r="G64" t="s">
        <v>333</v>
      </c>
      <c r="H64" t="s">
        <v>271</v>
      </c>
      <c r="I64">
        <v>18.9</v>
      </c>
      <c r="J64">
        <v>3.78</v>
      </c>
      <c r="K64">
        <f>IF(J64="","",IF(J64&lt;10,'Price Rules'!$B$5,IF(J64&lt;=50,'Price Rules'!$B$6,'Price Rules'!$B$7)))</f>
        <v>5</v>
      </c>
      <c r="L64">
        <f t="shared" si="0"/>
        <v>19</v>
      </c>
      <c r="M64" t="s">
        <v>334</v>
      </c>
      <c r="N64" t="s">
        <v>171</v>
      </c>
      <c r="O64" t="s">
        <v>44</v>
      </c>
      <c r="P64">
        <v>70</v>
      </c>
      <c r="Q64" t="s">
        <v>172</v>
      </c>
      <c r="R64" t="s">
        <v>328</v>
      </c>
    </row>
    <row r="65" spans="1:18">
      <c r="A65" t="s">
        <v>25</v>
      </c>
      <c r="B65" t="s">
        <v>58</v>
      </c>
      <c r="C65" t="s">
        <v>186</v>
      </c>
      <c r="D65" t="s">
        <v>59</v>
      </c>
      <c r="E65" t="s">
        <v>61</v>
      </c>
      <c r="F65" t="s">
        <v>168</v>
      </c>
      <c r="G65" t="s">
        <v>335</v>
      </c>
      <c r="H65" t="s">
        <v>271</v>
      </c>
      <c r="I65">
        <v>21.9</v>
      </c>
      <c r="J65">
        <v>4.38</v>
      </c>
      <c r="K65">
        <f>IF(J65="","",IF(J65&lt;10,'Price Rules'!$B$5,IF(J65&lt;=50,'Price Rules'!$B$6,'Price Rules'!$B$7)))</f>
        <v>5</v>
      </c>
      <c r="L65">
        <f t="shared" si="0"/>
        <v>22</v>
      </c>
      <c r="M65" t="s">
        <v>336</v>
      </c>
      <c r="N65" t="s">
        <v>171</v>
      </c>
      <c r="O65" t="s">
        <v>44</v>
      </c>
      <c r="P65">
        <v>71</v>
      </c>
      <c r="Q65" t="s">
        <v>172</v>
      </c>
      <c r="R65" t="s">
        <v>328</v>
      </c>
    </row>
    <row r="66" spans="1:18">
      <c r="A66" t="s">
        <v>25</v>
      </c>
      <c r="B66" t="s">
        <v>58</v>
      </c>
      <c r="C66" t="s">
        <v>190</v>
      </c>
      <c r="D66" t="s">
        <v>59</v>
      </c>
      <c r="E66" t="s">
        <v>61</v>
      </c>
      <c r="F66" t="s">
        <v>191</v>
      </c>
      <c r="G66" t="s">
        <v>337</v>
      </c>
      <c r="H66" t="s">
        <v>271</v>
      </c>
      <c r="I66">
        <v>27.95</v>
      </c>
      <c r="J66">
        <v>5.59</v>
      </c>
      <c r="K66">
        <f>IF(J66="","",IF(J66&lt;10,'Price Rules'!$B$5,IF(J66&lt;=50,'Price Rules'!$B$6,'Price Rules'!$B$7)))</f>
        <v>5</v>
      </c>
      <c r="L66">
        <f t="shared" si="0"/>
        <v>28</v>
      </c>
      <c r="M66" t="s">
        <v>338</v>
      </c>
      <c r="N66" t="s">
        <v>171</v>
      </c>
      <c r="O66" t="s">
        <v>44</v>
      </c>
      <c r="P66">
        <v>72</v>
      </c>
      <c r="Q66" t="s">
        <v>195</v>
      </c>
      <c r="R66" t="s">
        <v>328</v>
      </c>
    </row>
    <row r="67" spans="1:18">
      <c r="A67" t="s">
        <v>25</v>
      </c>
      <c r="B67" t="s">
        <v>58</v>
      </c>
      <c r="C67" t="s">
        <v>196</v>
      </c>
      <c r="D67" t="s">
        <v>59</v>
      </c>
      <c r="E67" t="s">
        <v>61</v>
      </c>
      <c r="F67" t="s">
        <v>191</v>
      </c>
      <c r="G67" t="s">
        <v>339</v>
      </c>
      <c r="H67" t="s">
        <v>271</v>
      </c>
      <c r="I67">
        <v>35.9</v>
      </c>
      <c r="J67">
        <v>7.18</v>
      </c>
      <c r="K67">
        <f>IF(J67="","",IF(J67&lt;10,'Price Rules'!$B$5,IF(J67&lt;=50,'Price Rules'!$B$6,'Price Rules'!$B$7)))</f>
        <v>5</v>
      </c>
      <c r="L67">
        <f t="shared" si="0"/>
        <v>36</v>
      </c>
      <c r="M67" t="s">
        <v>340</v>
      </c>
      <c r="N67" t="s">
        <v>171</v>
      </c>
      <c r="O67" t="s">
        <v>44</v>
      </c>
      <c r="P67">
        <v>73</v>
      </c>
      <c r="Q67" t="s">
        <v>195</v>
      </c>
      <c r="R67" t="s">
        <v>328</v>
      </c>
    </row>
    <row r="68" spans="1:18">
      <c r="A68" t="s">
        <v>25</v>
      </c>
      <c r="B68" t="s">
        <v>58</v>
      </c>
      <c r="C68" t="s">
        <v>200</v>
      </c>
      <c r="D68" t="s">
        <v>59</v>
      </c>
      <c r="E68" t="s">
        <v>61</v>
      </c>
      <c r="F68" t="s">
        <v>191</v>
      </c>
      <c r="G68" t="s">
        <v>341</v>
      </c>
      <c r="H68" t="s">
        <v>271</v>
      </c>
      <c r="I68">
        <v>39.9</v>
      </c>
      <c r="J68">
        <v>7.98</v>
      </c>
      <c r="K68">
        <f>IF(J68="","",IF(J68&lt;10,'Price Rules'!$B$5,IF(J68&lt;=50,'Price Rules'!$B$6,'Price Rules'!$B$7)))</f>
        <v>5</v>
      </c>
      <c r="L68">
        <f t="shared" si="0"/>
        <v>40</v>
      </c>
      <c r="M68" t="s">
        <v>342</v>
      </c>
      <c r="N68" t="s">
        <v>171</v>
      </c>
      <c r="O68" t="s">
        <v>44</v>
      </c>
      <c r="P68">
        <v>74</v>
      </c>
      <c r="Q68" t="s">
        <v>195</v>
      </c>
      <c r="R68" t="s">
        <v>328</v>
      </c>
    </row>
    <row r="69" spans="1:18">
      <c r="A69" t="s">
        <v>25</v>
      </c>
      <c r="B69" t="s">
        <v>58</v>
      </c>
      <c r="C69" t="s">
        <v>204</v>
      </c>
      <c r="D69" t="s">
        <v>59</v>
      </c>
      <c r="E69" t="s">
        <v>61</v>
      </c>
      <c r="F69" t="s">
        <v>191</v>
      </c>
      <c r="G69" t="s">
        <v>343</v>
      </c>
      <c r="H69" t="s">
        <v>271</v>
      </c>
      <c r="I69">
        <v>76</v>
      </c>
      <c r="J69">
        <v>15.2</v>
      </c>
      <c r="K69">
        <f>IF(J69="","",IF(J69&lt;10,'Price Rules'!$B$5,IF(J69&lt;=50,'Price Rules'!$B$6,'Price Rules'!$B$7)))</f>
        <v>4</v>
      </c>
      <c r="L69">
        <f t="shared" ref="L69:L132" si="1">IF(J69="","",ROUND(J69*K69,0))</f>
        <v>61</v>
      </c>
      <c r="M69" t="s">
        <v>344</v>
      </c>
      <c r="N69" t="s">
        <v>171</v>
      </c>
      <c r="O69" t="s">
        <v>44</v>
      </c>
      <c r="P69">
        <v>75</v>
      </c>
      <c r="Q69" t="s">
        <v>195</v>
      </c>
      <c r="R69" t="s">
        <v>328</v>
      </c>
    </row>
    <row r="70" spans="1:18">
      <c r="A70" t="s">
        <v>25</v>
      </c>
      <c r="B70" t="s">
        <v>58</v>
      </c>
      <c r="C70" t="s">
        <v>208</v>
      </c>
      <c r="D70" t="s">
        <v>59</v>
      </c>
      <c r="E70" t="s">
        <v>61</v>
      </c>
      <c r="F70" t="s">
        <v>191</v>
      </c>
      <c r="G70" t="s">
        <v>345</v>
      </c>
      <c r="H70" t="s">
        <v>271</v>
      </c>
      <c r="I70">
        <v>72.5</v>
      </c>
      <c r="J70">
        <v>14.5</v>
      </c>
      <c r="K70">
        <f>IF(J70="","",IF(J70&lt;10,'Price Rules'!$B$5,IF(J70&lt;=50,'Price Rules'!$B$6,'Price Rules'!$B$7)))</f>
        <v>4</v>
      </c>
      <c r="L70">
        <f t="shared" si="1"/>
        <v>58</v>
      </c>
      <c r="M70" t="s">
        <v>346</v>
      </c>
      <c r="N70" t="s">
        <v>171</v>
      </c>
      <c r="O70" t="s">
        <v>44</v>
      </c>
      <c r="P70">
        <v>76</v>
      </c>
      <c r="Q70" t="s">
        <v>195</v>
      </c>
      <c r="R70" t="s">
        <v>328</v>
      </c>
    </row>
    <row r="71" spans="1:18">
      <c r="A71" t="s">
        <v>25</v>
      </c>
      <c r="B71" t="s">
        <v>58</v>
      </c>
      <c r="C71" t="s">
        <v>212</v>
      </c>
      <c r="D71" t="s">
        <v>59</v>
      </c>
      <c r="E71" t="s">
        <v>61</v>
      </c>
      <c r="F71" t="s">
        <v>191</v>
      </c>
      <c r="G71" t="s">
        <v>347</v>
      </c>
      <c r="H71" t="s">
        <v>271</v>
      </c>
      <c r="I71">
        <v>82.8</v>
      </c>
      <c r="J71">
        <v>16.56</v>
      </c>
      <c r="K71">
        <f>IF(J71="","",IF(J71&lt;10,'Price Rules'!$B$5,IF(J71&lt;=50,'Price Rules'!$B$6,'Price Rules'!$B$7)))</f>
        <v>4</v>
      </c>
      <c r="L71">
        <f t="shared" si="1"/>
        <v>66</v>
      </c>
      <c r="M71" t="s">
        <v>348</v>
      </c>
      <c r="N71" t="s">
        <v>171</v>
      </c>
      <c r="O71" t="s">
        <v>44</v>
      </c>
      <c r="P71">
        <v>77</v>
      </c>
      <c r="Q71" t="s">
        <v>195</v>
      </c>
      <c r="R71" t="s">
        <v>328</v>
      </c>
    </row>
    <row r="72" spans="1:18">
      <c r="A72" t="s">
        <v>25</v>
      </c>
      <c r="B72" t="s">
        <v>58</v>
      </c>
      <c r="C72" t="s">
        <v>216</v>
      </c>
      <c r="D72" t="s">
        <v>59</v>
      </c>
      <c r="E72" t="s">
        <v>61</v>
      </c>
      <c r="F72" t="s">
        <v>191</v>
      </c>
      <c r="G72" t="s">
        <v>349</v>
      </c>
      <c r="H72" t="s">
        <v>271</v>
      </c>
      <c r="I72">
        <v>100.8</v>
      </c>
      <c r="J72">
        <v>20.16</v>
      </c>
      <c r="K72">
        <f>IF(J72="","",IF(J72&lt;10,'Price Rules'!$B$5,IF(J72&lt;=50,'Price Rules'!$B$6,'Price Rules'!$B$7)))</f>
        <v>4</v>
      </c>
      <c r="L72">
        <f t="shared" si="1"/>
        <v>81</v>
      </c>
      <c r="M72" t="s">
        <v>350</v>
      </c>
      <c r="N72" t="s">
        <v>171</v>
      </c>
      <c r="O72" t="s">
        <v>44</v>
      </c>
      <c r="P72">
        <v>78</v>
      </c>
      <c r="Q72" t="s">
        <v>195</v>
      </c>
      <c r="R72" t="s">
        <v>328</v>
      </c>
    </row>
    <row r="73" spans="1:18">
      <c r="A73" t="s">
        <v>25</v>
      </c>
      <c r="B73" t="s">
        <v>58</v>
      </c>
      <c r="C73" t="s">
        <v>220</v>
      </c>
      <c r="D73" t="s">
        <v>59</v>
      </c>
      <c r="E73" t="s">
        <v>61</v>
      </c>
      <c r="F73" t="s">
        <v>191</v>
      </c>
      <c r="G73" t="s">
        <v>351</v>
      </c>
      <c r="H73" t="s">
        <v>271</v>
      </c>
      <c r="I73">
        <v>123.8</v>
      </c>
      <c r="J73">
        <v>24.76</v>
      </c>
      <c r="K73">
        <f>IF(J73="","",IF(J73&lt;10,'Price Rules'!$B$5,IF(J73&lt;=50,'Price Rules'!$B$6,'Price Rules'!$B$7)))</f>
        <v>4</v>
      </c>
      <c r="L73">
        <f t="shared" si="1"/>
        <v>99</v>
      </c>
      <c r="M73" t="s">
        <v>352</v>
      </c>
      <c r="N73" t="s">
        <v>171</v>
      </c>
      <c r="O73" t="s">
        <v>44</v>
      </c>
      <c r="P73">
        <v>79</v>
      </c>
      <c r="Q73" t="s">
        <v>195</v>
      </c>
      <c r="R73" t="s">
        <v>328</v>
      </c>
    </row>
    <row r="74" spans="1:18">
      <c r="A74" t="s">
        <v>25</v>
      </c>
      <c r="B74" t="s">
        <v>58</v>
      </c>
      <c r="C74" t="s">
        <v>224</v>
      </c>
      <c r="D74" t="s">
        <v>59</v>
      </c>
      <c r="E74" t="s">
        <v>61</v>
      </c>
      <c r="F74" t="s">
        <v>191</v>
      </c>
      <c r="G74" t="s">
        <v>353</v>
      </c>
      <c r="H74" t="s">
        <v>271</v>
      </c>
      <c r="I74">
        <v>149.9</v>
      </c>
      <c r="J74">
        <v>29.98</v>
      </c>
      <c r="K74">
        <f>IF(J74="","",IF(J74&lt;10,'Price Rules'!$B$5,IF(J74&lt;=50,'Price Rules'!$B$6,'Price Rules'!$B$7)))</f>
        <v>4</v>
      </c>
      <c r="L74">
        <f t="shared" si="1"/>
        <v>120</v>
      </c>
      <c r="M74" t="s">
        <v>354</v>
      </c>
      <c r="N74" t="s">
        <v>171</v>
      </c>
      <c r="O74" t="s">
        <v>44</v>
      </c>
      <c r="P74">
        <v>80</v>
      </c>
      <c r="Q74" t="s">
        <v>195</v>
      </c>
      <c r="R74" t="s">
        <v>328</v>
      </c>
    </row>
    <row r="75" spans="1:18">
      <c r="A75" t="s">
        <v>25</v>
      </c>
      <c r="B75" t="s">
        <v>62</v>
      </c>
      <c r="C75" t="s">
        <v>167</v>
      </c>
      <c r="D75" t="s">
        <v>63</v>
      </c>
      <c r="E75" t="s">
        <v>65</v>
      </c>
      <c r="F75" t="s">
        <v>168</v>
      </c>
      <c r="G75" t="s">
        <v>355</v>
      </c>
      <c r="H75" t="s">
        <v>271</v>
      </c>
      <c r="I75">
        <v>15.9</v>
      </c>
      <c r="J75">
        <v>3.18</v>
      </c>
      <c r="K75">
        <f>IF(J75="","",IF(J75&lt;10,'Price Rules'!$B$5,IF(J75&lt;=50,'Price Rules'!$B$6,'Price Rules'!$B$7)))</f>
        <v>5</v>
      </c>
      <c r="L75">
        <f t="shared" si="1"/>
        <v>16</v>
      </c>
      <c r="M75" t="s">
        <v>64</v>
      </c>
      <c r="N75" t="s">
        <v>171</v>
      </c>
      <c r="O75" t="s">
        <v>44</v>
      </c>
      <c r="P75">
        <v>83</v>
      </c>
      <c r="Q75" t="s">
        <v>172</v>
      </c>
      <c r="R75" t="s">
        <v>328</v>
      </c>
    </row>
    <row r="76" spans="1:18">
      <c r="A76" t="s">
        <v>25</v>
      </c>
      <c r="B76" t="s">
        <v>62</v>
      </c>
      <c r="C76" t="s">
        <v>174</v>
      </c>
      <c r="D76" t="s">
        <v>63</v>
      </c>
      <c r="E76" t="s">
        <v>65</v>
      </c>
      <c r="F76" t="s">
        <v>168</v>
      </c>
      <c r="G76" t="s">
        <v>356</v>
      </c>
      <c r="H76" t="s">
        <v>271</v>
      </c>
      <c r="I76">
        <v>23.9</v>
      </c>
      <c r="J76">
        <v>4.78</v>
      </c>
      <c r="K76">
        <f>IF(J76="","",IF(J76&lt;10,'Price Rules'!$B$5,IF(J76&lt;=50,'Price Rules'!$B$6,'Price Rules'!$B$7)))</f>
        <v>5</v>
      </c>
      <c r="L76">
        <f t="shared" si="1"/>
        <v>24</v>
      </c>
      <c r="M76" t="s">
        <v>357</v>
      </c>
      <c r="N76" t="s">
        <v>171</v>
      </c>
      <c r="O76" t="s">
        <v>44</v>
      </c>
      <c r="P76">
        <v>84</v>
      </c>
      <c r="Q76" t="s">
        <v>172</v>
      </c>
      <c r="R76" t="s">
        <v>328</v>
      </c>
    </row>
    <row r="77" spans="1:18">
      <c r="A77" t="s">
        <v>25</v>
      </c>
      <c r="B77" t="s">
        <v>62</v>
      </c>
      <c r="C77" t="s">
        <v>178</v>
      </c>
      <c r="D77" t="s">
        <v>63</v>
      </c>
      <c r="E77" t="s">
        <v>65</v>
      </c>
      <c r="F77" t="s">
        <v>168</v>
      </c>
      <c r="G77" t="s">
        <v>358</v>
      </c>
      <c r="H77" t="s">
        <v>271</v>
      </c>
      <c r="I77">
        <v>27.9</v>
      </c>
      <c r="J77">
        <v>5.58</v>
      </c>
      <c r="K77">
        <f>IF(J77="","",IF(J77&lt;10,'Price Rules'!$B$5,IF(J77&lt;=50,'Price Rules'!$B$6,'Price Rules'!$B$7)))</f>
        <v>5</v>
      </c>
      <c r="L77">
        <f t="shared" si="1"/>
        <v>28</v>
      </c>
      <c r="M77" t="s">
        <v>359</v>
      </c>
      <c r="N77" t="s">
        <v>171</v>
      </c>
      <c r="O77" t="s">
        <v>44</v>
      </c>
      <c r="P77">
        <v>85</v>
      </c>
      <c r="Q77" t="s">
        <v>172</v>
      </c>
      <c r="R77" t="s">
        <v>328</v>
      </c>
    </row>
    <row r="78" spans="1:18">
      <c r="A78" t="s">
        <v>25</v>
      </c>
      <c r="B78" t="s">
        <v>62</v>
      </c>
      <c r="C78" t="s">
        <v>182</v>
      </c>
      <c r="D78" t="s">
        <v>63</v>
      </c>
      <c r="E78" t="s">
        <v>65</v>
      </c>
      <c r="F78" t="s">
        <v>168</v>
      </c>
      <c r="G78" t="s">
        <v>360</v>
      </c>
      <c r="H78" t="s">
        <v>271</v>
      </c>
      <c r="I78">
        <v>33.9</v>
      </c>
      <c r="J78">
        <v>6.78</v>
      </c>
      <c r="K78">
        <f>IF(J78="","",IF(J78&lt;10,'Price Rules'!$B$5,IF(J78&lt;=50,'Price Rules'!$B$6,'Price Rules'!$B$7)))</f>
        <v>5</v>
      </c>
      <c r="L78">
        <f t="shared" si="1"/>
        <v>34</v>
      </c>
      <c r="M78" t="s">
        <v>361</v>
      </c>
      <c r="N78" t="s">
        <v>171</v>
      </c>
      <c r="O78" t="s">
        <v>44</v>
      </c>
      <c r="P78">
        <v>86</v>
      </c>
      <c r="Q78" t="s">
        <v>172</v>
      </c>
      <c r="R78" t="s">
        <v>328</v>
      </c>
    </row>
    <row r="79" spans="1:18">
      <c r="A79" t="s">
        <v>25</v>
      </c>
      <c r="B79" t="s">
        <v>62</v>
      </c>
      <c r="C79" t="s">
        <v>186</v>
      </c>
      <c r="D79" t="s">
        <v>63</v>
      </c>
      <c r="E79" t="s">
        <v>65</v>
      </c>
      <c r="F79" t="s">
        <v>168</v>
      </c>
      <c r="G79" t="s">
        <v>362</v>
      </c>
      <c r="H79" t="s">
        <v>271</v>
      </c>
      <c r="I79">
        <v>35.9</v>
      </c>
      <c r="J79">
        <v>7.18</v>
      </c>
      <c r="K79">
        <f>IF(J79="","",IF(J79&lt;10,'Price Rules'!$B$5,IF(J79&lt;=50,'Price Rules'!$B$6,'Price Rules'!$B$7)))</f>
        <v>5</v>
      </c>
      <c r="L79">
        <f t="shared" si="1"/>
        <v>36</v>
      </c>
      <c r="M79" t="s">
        <v>363</v>
      </c>
      <c r="N79" t="s">
        <v>171</v>
      </c>
      <c r="O79" t="s">
        <v>44</v>
      </c>
      <c r="P79">
        <v>87</v>
      </c>
      <c r="Q79" t="s">
        <v>172</v>
      </c>
      <c r="R79" t="s">
        <v>328</v>
      </c>
    </row>
    <row r="80" spans="1:18">
      <c r="A80" t="s">
        <v>25</v>
      </c>
      <c r="B80" t="s">
        <v>62</v>
      </c>
      <c r="C80" t="s">
        <v>190</v>
      </c>
      <c r="D80" t="s">
        <v>63</v>
      </c>
      <c r="E80" t="s">
        <v>65</v>
      </c>
      <c r="F80" t="s">
        <v>191</v>
      </c>
      <c r="G80" t="s">
        <v>364</v>
      </c>
      <c r="H80" t="s">
        <v>271</v>
      </c>
      <c r="I80">
        <v>55.9</v>
      </c>
      <c r="J80">
        <v>11.18</v>
      </c>
      <c r="K80">
        <f>IF(J80="","",IF(J80&lt;10,'Price Rules'!$B$5,IF(J80&lt;=50,'Price Rules'!$B$6,'Price Rules'!$B$7)))</f>
        <v>4</v>
      </c>
      <c r="L80">
        <f t="shared" si="1"/>
        <v>45</v>
      </c>
      <c r="M80" t="s">
        <v>365</v>
      </c>
      <c r="N80" t="s">
        <v>171</v>
      </c>
      <c r="O80" t="s">
        <v>44</v>
      </c>
      <c r="P80">
        <v>88</v>
      </c>
      <c r="Q80" t="s">
        <v>195</v>
      </c>
      <c r="R80" t="s">
        <v>328</v>
      </c>
    </row>
    <row r="81" spans="1:18">
      <c r="A81" t="s">
        <v>25</v>
      </c>
      <c r="B81" t="s">
        <v>62</v>
      </c>
      <c r="C81" t="s">
        <v>196</v>
      </c>
      <c r="D81" t="s">
        <v>63</v>
      </c>
      <c r="E81" t="s">
        <v>65</v>
      </c>
      <c r="F81" t="s">
        <v>191</v>
      </c>
      <c r="G81" t="s">
        <v>366</v>
      </c>
      <c r="H81" t="s">
        <v>271</v>
      </c>
      <c r="I81">
        <v>58.8</v>
      </c>
      <c r="J81">
        <v>11.76</v>
      </c>
      <c r="K81">
        <f>IF(J81="","",IF(J81&lt;10,'Price Rules'!$B$5,IF(J81&lt;=50,'Price Rules'!$B$6,'Price Rules'!$B$7)))</f>
        <v>4</v>
      </c>
      <c r="L81">
        <f t="shared" si="1"/>
        <v>47</v>
      </c>
      <c r="M81" t="s">
        <v>367</v>
      </c>
      <c r="N81" t="s">
        <v>171</v>
      </c>
      <c r="O81" t="s">
        <v>44</v>
      </c>
      <c r="P81">
        <v>89</v>
      </c>
      <c r="Q81" t="s">
        <v>195</v>
      </c>
      <c r="R81" t="s">
        <v>328</v>
      </c>
    </row>
    <row r="82" spans="1:18">
      <c r="A82" t="s">
        <v>25</v>
      </c>
      <c r="B82" t="s">
        <v>62</v>
      </c>
      <c r="C82" t="s">
        <v>200</v>
      </c>
      <c r="D82" t="s">
        <v>63</v>
      </c>
      <c r="E82" t="s">
        <v>65</v>
      </c>
      <c r="F82" t="s">
        <v>191</v>
      </c>
      <c r="G82" t="s">
        <v>368</v>
      </c>
      <c r="H82" t="s">
        <v>271</v>
      </c>
      <c r="I82">
        <v>65.9</v>
      </c>
      <c r="J82">
        <v>13.18</v>
      </c>
      <c r="K82">
        <f>IF(J82="","",IF(J82&lt;10,'Price Rules'!$B$5,IF(J82&lt;=50,'Price Rules'!$B$6,'Price Rules'!$B$7)))</f>
        <v>4</v>
      </c>
      <c r="L82">
        <f t="shared" si="1"/>
        <v>53</v>
      </c>
      <c r="M82" t="s">
        <v>369</v>
      </c>
      <c r="N82" t="s">
        <v>171</v>
      </c>
      <c r="O82" t="s">
        <v>44</v>
      </c>
      <c r="P82">
        <v>90</v>
      </c>
      <c r="Q82" t="s">
        <v>195</v>
      </c>
      <c r="R82" t="s">
        <v>328</v>
      </c>
    </row>
    <row r="83" spans="1:18">
      <c r="A83" t="s">
        <v>25</v>
      </c>
      <c r="B83" t="s">
        <v>62</v>
      </c>
      <c r="C83" t="s">
        <v>204</v>
      </c>
      <c r="D83" t="s">
        <v>63</v>
      </c>
      <c r="E83" t="s">
        <v>65</v>
      </c>
      <c r="F83" t="s">
        <v>191</v>
      </c>
      <c r="G83" t="s">
        <v>370</v>
      </c>
      <c r="H83" t="s">
        <v>271</v>
      </c>
      <c r="I83">
        <v>89.9</v>
      </c>
      <c r="J83">
        <v>17.98</v>
      </c>
      <c r="K83">
        <f>IF(J83="","",IF(J83&lt;10,'Price Rules'!$B$5,IF(J83&lt;=50,'Price Rules'!$B$6,'Price Rules'!$B$7)))</f>
        <v>4</v>
      </c>
      <c r="L83">
        <f t="shared" si="1"/>
        <v>72</v>
      </c>
      <c r="M83" t="s">
        <v>371</v>
      </c>
      <c r="N83" t="s">
        <v>171</v>
      </c>
      <c r="O83" t="s">
        <v>44</v>
      </c>
      <c r="P83">
        <v>91</v>
      </c>
      <c r="Q83" t="s">
        <v>195</v>
      </c>
      <c r="R83" t="s">
        <v>328</v>
      </c>
    </row>
    <row r="84" spans="1:18">
      <c r="A84" t="s">
        <v>25</v>
      </c>
      <c r="B84" t="s">
        <v>62</v>
      </c>
      <c r="C84" t="s">
        <v>208</v>
      </c>
      <c r="D84" t="s">
        <v>63</v>
      </c>
      <c r="E84" t="s">
        <v>65</v>
      </c>
      <c r="F84" t="s">
        <v>191</v>
      </c>
      <c r="G84" t="s">
        <v>372</v>
      </c>
      <c r="H84" t="s">
        <v>271</v>
      </c>
      <c r="I84">
        <v>119</v>
      </c>
      <c r="J84">
        <v>23.8</v>
      </c>
      <c r="K84">
        <f>IF(J84="","",IF(J84&lt;10,'Price Rules'!$B$5,IF(J84&lt;=50,'Price Rules'!$B$6,'Price Rules'!$B$7)))</f>
        <v>4</v>
      </c>
      <c r="L84">
        <f t="shared" si="1"/>
        <v>95</v>
      </c>
      <c r="M84" t="s">
        <v>373</v>
      </c>
      <c r="N84" t="s">
        <v>171</v>
      </c>
      <c r="O84" t="s">
        <v>44</v>
      </c>
      <c r="P84">
        <v>92</v>
      </c>
      <c r="Q84" t="s">
        <v>195</v>
      </c>
      <c r="R84" t="s">
        <v>328</v>
      </c>
    </row>
    <row r="85" spans="1:18">
      <c r="A85" t="s">
        <v>25</v>
      </c>
      <c r="B85" t="s">
        <v>62</v>
      </c>
      <c r="C85" t="s">
        <v>212</v>
      </c>
      <c r="D85" t="s">
        <v>63</v>
      </c>
      <c r="E85" t="s">
        <v>65</v>
      </c>
      <c r="F85" t="s">
        <v>191</v>
      </c>
      <c r="G85" t="s">
        <v>374</v>
      </c>
      <c r="H85" t="s">
        <v>271</v>
      </c>
      <c r="I85">
        <v>145.9</v>
      </c>
      <c r="J85">
        <v>29.18</v>
      </c>
      <c r="K85">
        <f>IF(J85="","",IF(J85&lt;10,'Price Rules'!$B$5,IF(J85&lt;=50,'Price Rules'!$B$6,'Price Rules'!$B$7)))</f>
        <v>4</v>
      </c>
      <c r="L85">
        <f t="shared" si="1"/>
        <v>117</v>
      </c>
      <c r="M85" t="s">
        <v>375</v>
      </c>
      <c r="N85" t="s">
        <v>171</v>
      </c>
      <c r="O85" t="s">
        <v>44</v>
      </c>
      <c r="P85">
        <v>93</v>
      </c>
      <c r="Q85" t="s">
        <v>195</v>
      </c>
      <c r="R85" t="s">
        <v>328</v>
      </c>
    </row>
    <row r="86" spans="1:18">
      <c r="A86" t="s">
        <v>25</v>
      </c>
      <c r="B86" t="s">
        <v>62</v>
      </c>
      <c r="C86" t="s">
        <v>216</v>
      </c>
      <c r="D86" t="s">
        <v>63</v>
      </c>
      <c r="E86" t="s">
        <v>65</v>
      </c>
      <c r="F86" t="s">
        <v>191</v>
      </c>
      <c r="G86" t="s">
        <v>376</v>
      </c>
      <c r="H86" t="s">
        <v>271</v>
      </c>
      <c r="I86">
        <v>160</v>
      </c>
      <c r="J86">
        <v>32</v>
      </c>
      <c r="K86">
        <f>IF(J86="","",IF(J86&lt;10,'Price Rules'!$B$5,IF(J86&lt;=50,'Price Rules'!$B$6,'Price Rules'!$B$7)))</f>
        <v>4</v>
      </c>
      <c r="L86">
        <f t="shared" si="1"/>
        <v>128</v>
      </c>
      <c r="M86" t="s">
        <v>377</v>
      </c>
      <c r="N86" t="s">
        <v>171</v>
      </c>
      <c r="O86" t="s">
        <v>44</v>
      </c>
      <c r="P86">
        <v>94</v>
      </c>
      <c r="Q86" t="s">
        <v>195</v>
      </c>
      <c r="R86" t="s">
        <v>328</v>
      </c>
    </row>
    <row r="87" spans="1:18">
      <c r="A87" t="s">
        <v>25</v>
      </c>
      <c r="B87" t="s">
        <v>66</v>
      </c>
      <c r="C87" t="s">
        <v>167</v>
      </c>
      <c r="D87" t="s">
        <v>378</v>
      </c>
      <c r="E87" t="s">
        <v>69</v>
      </c>
      <c r="F87" t="s">
        <v>168</v>
      </c>
      <c r="G87" t="s">
        <v>379</v>
      </c>
      <c r="H87" t="s">
        <v>271</v>
      </c>
      <c r="I87">
        <v>15.9</v>
      </c>
      <c r="J87">
        <v>3.18</v>
      </c>
      <c r="K87">
        <f>IF(J87="","",IF(J87&lt;10,'Price Rules'!$B$5,IF(J87&lt;=50,'Price Rules'!$B$6,'Price Rules'!$B$7)))</f>
        <v>5</v>
      </c>
      <c r="L87">
        <f t="shared" si="1"/>
        <v>16</v>
      </c>
      <c r="M87" t="s">
        <v>68</v>
      </c>
      <c r="N87" t="s">
        <v>171</v>
      </c>
      <c r="O87" t="s">
        <v>44</v>
      </c>
      <c r="P87">
        <v>99</v>
      </c>
      <c r="Q87" t="s">
        <v>172</v>
      </c>
      <c r="R87" t="s">
        <v>272</v>
      </c>
    </row>
    <row r="88" spans="1:18">
      <c r="A88" t="s">
        <v>25</v>
      </c>
      <c r="B88" t="s">
        <v>66</v>
      </c>
      <c r="C88" t="s">
        <v>174</v>
      </c>
      <c r="D88" t="s">
        <v>378</v>
      </c>
      <c r="E88" t="s">
        <v>69</v>
      </c>
      <c r="F88" t="s">
        <v>168</v>
      </c>
      <c r="G88" t="s">
        <v>380</v>
      </c>
      <c r="H88" t="s">
        <v>271</v>
      </c>
      <c r="I88">
        <v>23.9</v>
      </c>
      <c r="J88">
        <v>4.78</v>
      </c>
      <c r="K88">
        <f>IF(J88="","",IF(J88&lt;10,'Price Rules'!$B$5,IF(J88&lt;=50,'Price Rules'!$B$6,'Price Rules'!$B$7)))</f>
        <v>5</v>
      </c>
      <c r="L88">
        <f t="shared" si="1"/>
        <v>24</v>
      </c>
      <c r="M88" t="s">
        <v>381</v>
      </c>
      <c r="N88" t="s">
        <v>171</v>
      </c>
      <c r="O88" t="s">
        <v>44</v>
      </c>
      <c r="P88">
        <v>100</v>
      </c>
      <c r="Q88" t="s">
        <v>172</v>
      </c>
      <c r="R88" t="s">
        <v>272</v>
      </c>
    </row>
    <row r="89" spans="1:18">
      <c r="A89" t="s">
        <v>25</v>
      </c>
      <c r="B89" t="s">
        <v>66</v>
      </c>
      <c r="C89" t="s">
        <v>178</v>
      </c>
      <c r="D89" t="s">
        <v>378</v>
      </c>
      <c r="E89" t="s">
        <v>69</v>
      </c>
      <c r="F89" t="s">
        <v>168</v>
      </c>
      <c r="G89" t="s">
        <v>382</v>
      </c>
      <c r="H89" t="s">
        <v>271</v>
      </c>
      <c r="I89">
        <v>27.9</v>
      </c>
      <c r="J89">
        <v>5.58</v>
      </c>
      <c r="K89">
        <f>IF(J89="","",IF(J89&lt;10,'Price Rules'!$B$5,IF(J89&lt;=50,'Price Rules'!$B$6,'Price Rules'!$B$7)))</f>
        <v>5</v>
      </c>
      <c r="L89">
        <f t="shared" si="1"/>
        <v>28</v>
      </c>
      <c r="M89" t="s">
        <v>383</v>
      </c>
      <c r="N89" t="s">
        <v>171</v>
      </c>
      <c r="O89" t="s">
        <v>44</v>
      </c>
      <c r="P89">
        <v>101</v>
      </c>
      <c r="Q89" t="s">
        <v>172</v>
      </c>
      <c r="R89" t="s">
        <v>272</v>
      </c>
    </row>
    <row r="90" spans="1:18">
      <c r="A90" t="s">
        <v>25</v>
      </c>
      <c r="B90" t="s">
        <v>66</v>
      </c>
      <c r="C90" t="s">
        <v>182</v>
      </c>
      <c r="D90" t="s">
        <v>378</v>
      </c>
      <c r="E90" t="s">
        <v>69</v>
      </c>
      <c r="F90" t="s">
        <v>168</v>
      </c>
      <c r="G90" t="s">
        <v>384</v>
      </c>
      <c r="H90" t="s">
        <v>271</v>
      </c>
      <c r="I90">
        <v>33.9</v>
      </c>
      <c r="J90">
        <v>6.78</v>
      </c>
      <c r="K90">
        <f>IF(J90="","",IF(J90&lt;10,'Price Rules'!$B$5,IF(J90&lt;=50,'Price Rules'!$B$6,'Price Rules'!$B$7)))</f>
        <v>5</v>
      </c>
      <c r="L90">
        <f t="shared" si="1"/>
        <v>34</v>
      </c>
      <c r="M90" t="s">
        <v>385</v>
      </c>
      <c r="N90" t="s">
        <v>171</v>
      </c>
      <c r="O90" t="s">
        <v>44</v>
      </c>
      <c r="P90">
        <v>102</v>
      </c>
      <c r="Q90" t="s">
        <v>172</v>
      </c>
      <c r="R90" t="s">
        <v>272</v>
      </c>
    </row>
    <row r="91" spans="1:18">
      <c r="A91" t="s">
        <v>25</v>
      </c>
      <c r="B91" t="s">
        <v>66</v>
      </c>
      <c r="C91" t="s">
        <v>186</v>
      </c>
      <c r="D91" t="s">
        <v>378</v>
      </c>
      <c r="E91" t="s">
        <v>69</v>
      </c>
      <c r="F91" t="s">
        <v>168</v>
      </c>
      <c r="G91" t="s">
        <v>386</v>
      </c>
      <c r="H91" t="s">
        <v>271</v>
      </c>
      <c r="I91">
        <v>35.9</v>
      </c>
      <c r="J91">
        <v>7.18</v>
      </c>
      <c r="K91">
        <f>IF(J91="","",IF(J91&lt;10,'Price Rules'!$B$5,IF(J91&lt;=50,'Price Rules'!$B$6,'Price Rules'!$B$7)))</f>
        <v>5</v>
      </c>
      <c r="L91">
        <f t="shared" si="1"/>
        <v>36</v>
      </c>
      <c r="M91" t="s">
        <v>387</v>
      </c>
      <c r="N91" t="s">
        <v>171</v>
      </c>
      <c r="O91" t="s">
        <v>44</v>
      </c>
      <c r="P91">
        <v>103</v>
      </c>
      <c r="Q91" t="s">
        <v>172</v>
      </c>
      <c r="R91" t="s">
        <v>272</v>
      </c>
    </row>
    <row r="92" spans="1:18">
      <c r="A92" t="s">
        <v>25</v>
      </c>
      <c r="B92" t="s">
        <v>66</v>
      </c>
      <c r="C92" t="s">
        <v>190</v>
      </c>
      <c r="D92" t="s">
        <v>378</v>
      </c>
      <c r="E92" t="s">
        <v>69</v>
      </c>
      <c r="F92" t="s">
        <v>191</v>
      </c>
      <c r="G92" t="s">
        <v>388</v>
      </c>
      <c r="H92" t="s">
        <v>271</v>
      </c>
      <c r="I92">
        <v>55.9</v>
      </c>
      <c r="J92">
        <v>11.18</v>
      </c>
      <c r="K92">
        <f>IF(J92="","",IF(J92&lt;10,'Price Rules'!$B$5,IF(J92&lt;=50,'Price Rules'!$B$6,'Price Rules'!$B$7)))</f>
        <v>4</v>
      </c>
      <c r="L92">
        <f t="shared" si="1"/>
        <v>45</v>
      </c>
      <c r="M92" t="s">
        <v>389</v>
      </c>
      <c r="N92" t="s">
        <v>171</v>
      </c>
      <c r="O92" t="s">
        <v>44</v>
      </c>
      <c r="P92">
        <v>104</v>
      </c>
      <c r="Q92" t="s">
        <v>195</v>
      </c>
      <c r="R92" t="s">
        <v>272</v>
      </c>
    </row>
    <row r="93" spans="1:18">
      <c r="A93" t="s">
        <v>25</v>
      </c>
      <c r="B93" t="s">
        <v>66</v>
      </c>
      <c r="C93" t="s">
        <v>196</v>
      </c>
      <c r="D93" t="s">
        <v>378</v>
      </c>
      <c r="E93" t="s">
        <v>69</v>
      </c>
      <c r="F93" t="s">
        <v>191</v>
      </c>
      <c r="G93" t="s">
        <v>390</v>
      </c>
      <c r="H93" t="s">
        <v>271</v>
      </c>
      <c r="I93">
        <v>58.8</v>
      </c>
      <c r="J93">
        <v>11.76</v>
      </c>
      <c r="K93">
        <f>IF(J93="","",IF(J93&lt;10,'Price Rules'!$B$5,IF(J93&lt;=50,'Price Rules'!$B$6,'Price Rules'!$B$7)))</f>
        <v>4</v>
      </c>
      <c r="L93">
        <f t="shared" si="1"/>
        <v>47</v>
      </c>
      <c r="M93" t="s">
        <v>391</v>
      </c>
      <c r="N93" t="s">
        <v>171</v>
      </c>
      <c r="O93" t="s">
        <v>44</v>
      </c>
      <c r="P93">
        <v>105</v>
      </c>
      <c r="Q93" t="s">
        <v>195</v>
      </c>
      <c r="R93" t="s">
        <v>272</v>
      </c>
    </row>
    <row r="94" spans="1:18">
      <c r="A94" t="s">
        <v>25</v>
      </c>
      <c r="B94" t="s">
        <v>66</v>
      </c>
      <c r="C94" t="s">
        <v>200</v>
      </c>
      <c r="D94" t="s">
        <v>378</v>
      </c>
      <c r="E94" t="s">
        <v>69</v>
      </c>
      <c r="F94" t="s">
        <v>191</v>
      </c>
      <c r="G94" t="s">
        <v>392</v>
      </c>
      <c r="H94" t="s">
        <v>271</v>
      </c>
      <c r="I94">
        <v>65.9</v>
      </c>
      <c r="J94">
        <v>13.18</v>
      </c>
      <c r="K94">
        <f>IF(J94="","",IF(J94&lt;10,'Price Rules'!$B$5,IF(J94&lt;=50,'Price Rules'!$B$6,'Price Rules'!$B$7)))</f>
        <v>4</v>
      </c>
      <c r="L94">
        <f t="shared" si="1"/>
        <v>53</v>
      </c>
      <c r="M94" t="s">
        <v>393</v>
      </c>
      <c r="N94" t="s">
        <v>171</v>
      </c>
      <c r="O94" t="s">
        <v>44</v>
      </c>
      <c r="P94">
        <v>106</v>
      </c>
      <c r="Q94" t="s">
        <v>195</v>
      </c>
      <c r="R94" t="s">
        <v>272</v>
      </c>
    </row>
    <row r="95" spans="1:18">
      <c r="A95" t="s">
        <v>25</v>
      </c>
      <c r="B95" t="s">
        <v>66</v>
      </c>
      <c r="C95" t="s">
        <v>204</v>
      </c>
      <c r="D95" t="s">
        <v>378</v>
      </c>
      <c r="E95" t="s">
        <v>69</v>
      </c>
      <c r="F95" t="s">
        <v>191</v>
      </c>
      <c r="G95" t="s">
        <v>394</v>
      </c>
      <c r="H95" t="s">
        <v>271</v>
      </c>
      <c r="I95">
        <v>89.9</v>
      </c>
      <c r="J95">
        <v>17.98</v>
      </c>
      <c r="K95">
        <f>IF(J95="","",IF(J95&lt;10,'Price Rules'!$B$5,IF(J95&lt;=50,'Price Rules'!$B$6,'Price Rules'!$B$7)))</f>
        <v>4</v>
      </c>
      <c r="L95">
        <f t="shared" si="1"/>
        <v>72</v>
      </c>
      <c r="M95" t="s">
        <v>395</v>
      </c>
      <c r="N95" t="s">
        <v>171</v>
      </c>
      <c r="O95" t="s">
        <v>44</v>
      </c>
      <c r="P95">
        <v>107</v>
      </c>
      <c r="Q95" t="s">
        <v>195</v>
      </c>
      <c r="R95" t="s">
        <v>272</v>
      </c>
    </row>
    <row r="96" spans="1:18">
      <c r="A96" t="s">
        <v>25</v>
      </c>
      <c r="B96" t="s">
        <v>66</v>
      </c>
      <c r="C96" t="s">
        <v>208</v>
      </c>
      <c r="D96" t="s">
        <v>378</v>
      </c>
      <c r="E96" t="s">
        <v>69</v>
      </c>
      <c r="F96" t="s">
        <v>191</v>
      </c>
      <c r="G96" t="s">
        <v>396</v>
      </c>
      <c r="H96" t="s">
        <v>271</v>
      </c>
      <c r="I96">
        <v>119</v>
      </c>
      <c r="J96">
        <v>23.8</v>
      </c>
      <c r="K96">
        <f>IF(J96="","",IF(J96&lt;10,'Price Rules'!$B$5,IF(J96&lt;=50,'Price Rules'!$B$6,'Price Rules'!$B$7)))</f>
        <v>4</v>
      </c>
      <c r="L96">
        <f t="shared" si="1"/>
        <v>95</v>
      </c>
      <c r="M96" t="s">
        <v>397</v>
      </c>
      <c r="N96" t="s">
        <v>171</v>
      </c>
      <c r="O96" t="s">
        <v>44</v>
      </c>
      <c r="P96">
        <v>108</v>
      </c>
      <c r="Q96" t="s">
        <v>195</v>
      </c>
      <c r="R96" t="s">
        <v>272</v>
      </c>
    </row>
    <row r="97" spans="1:18">
      <c r="A97" t="s">
        <v>25</v>
      </c>
      <c r="B97" t="s">
        <v>66</v>
      </c>
      <c r="C97" t="s">
        <v>212</v>
      </c>
      <c r="D97" t="s">
        <v>378</v>
      </c>
      <c r="E97" t="s">
        <v>69</v>
      </c>
      <c r="F97" t="s">
        <v>191</v>
      </c>
      <c r="G97" t="s">
        <v>398</v>
      </c>
      <c r="H97" t="s">
        <v>271</v>
      </c>
      <c r="I97">
        <v>145.9</v>
      </c>
      <c r="J97">
        <v>29.18</v>
      </c>
      <c r="K97">
        <f>IF(J97="","",IF(J97&lt;10,'Price Rules'!$B$5,IF(J97&lt;=50,'Price Rules'!$B$6,'Price Rules'!$B$7)))</f>
        <v>4</v>
      </c>
      <c r="L97">
        <f t="shared" si="1"/>
        <v>117</v>
      </c>
      <c r="M97" t="s">
        <v>399</v>
      </c>
      <c r="N97" t="s">
        <v>171</v>
      </c>
      <c r="O97" t="s">
        <v>44</v>
      </c>
      <c r="P97">
        <v>109</v>
      </c>
      <c r="Q97" t="s">
        <v>195</v>
      </c>
      <c r="R97" t="s">
        <v>272</v>
      </c>
    </row>
    <row r="98" spans="1:18">
      <c r="A98" t="s">
        <v>25</v>
      </c>
      <c r="B98" t="s">
        <v>66</v>
      </c>
      <c r="C98" t="s">
        <v>216</v>
      </c>
      <c r="D98" t="s">
        <v>378</v>
      </c>
      <c r="E98" t="s">
        <v>69</v>
      </c>
      <c r="F98" t="s">
        <v>191</v>
      </c>
      <c r="G98" t="s">
        <v>400</v>
      </c>
      <c r="H98" t="s">
        <v>271</v>
      </c>
      <c r="I98">
        <v>160</v>
      </c>
      <c r="J98">
        <v>32</v>
      </c>
      <c r="K98">
        <f>IF(J98="","",IF(J98&lt;10,'Price Rules'!$B$5,IF(J98&lt;=50,'Price Rules'!$B$6,'Price Rules'!$B$7)))</f>
        <v>4</v>
      </c>
      <c r="L98">
        <f t="shared" si="1"/>
        <v>128</v>
      </c>
      <c r="M98" t="s">
        <v>401</v>
      </c>
      <c r="N98" t="s">
        <v>171</v>
      </c>
      <c r="O98" t="s">
        <v>44</v>
      </c>
      <c r="P98">
        <v>110</v>
      </c>
      <c r="Q98" t="s">
        <v>195</v>
      </c>
      <c r="R98" t="s">
        <v>272</v>
      </c>
    </row>
    <row r="99" spans="1:18">
      <c r="A99" t="s">
        <v>31</v>
      </c>
      <c r="B99" t="s">
        <v>70</v>
      </c>
      <c r="C99" t="s">
        <v>204</v>
      </c>
      <c r="D99" t="s">
        <v>71</v>
      </c>
      <c r="E99" t="s">
        <v>73</v>
      </c>
      <c r="F99" t="s">
        <v>191</v>
      </c>
      <c r="G99" t="s">
        <v>402</v>
      </c>
      <c r="H99" t="s">
        <v>271</v>
      </c>
      <c r="I99">
        <v>97.65</v>
      </c>
      <c r="J99">
        <v>19.53</v>
      </c>
      <c r="K99">
        <f>IF(J99="","",IF(J99&lt;10,'Price Rules'!$B$5,IF(J99&lt;=50,'Price Rules'!$B$6,'Price Rules'!$B$7)))</f>
        <v>4</v>
      </c>
      <c r="L99">
        <f t="shared" si="1"/>
        <v>78</v>
      </c>
      <c r="M99" t="s">
        <v>72</v>
      </c>
      <c r="N99" t="s">
        <v>171</v>
      </c>
      <c r="O99" t="s">
        <v>44</v>
      </c>
      <c r="P99">
        <v>117</v>
      </c>
      <c r="Q99" t="s">
        <v>195</v>
      </c>
      <c r="R99" t="s">
        <v>403</v>
      </c>
    </row>
    <row r="100" spans="1:18">
      <c r="A100" t="s">
        <v>31</v>
      </c>
      <c r="B100" t="s">
        <v>70</v>
      </c>
      <c r="C100" t="s">
        <v>208</v>
      </c>
      <c r="D100" t="s">
        <v>71</v>
      </c>
      <c r="E100" t="s">
        <v>73</v>
      </c>
      <c r="F100" t="s">
        <v>191</v>
      </c>
      <c r="G100" t="s">
        <v>404</v>
      </c>
      <c r="H100" t="s">
        <v>271</v>
      </c>
      <c r="I100">
        <v>162.36</v>
      </c>
      <c r="J100">
        <v>32.47</v>
      </c>
      <c r="K100">
        <f>IF(J100="","",IF(J100&lt;10,'Price Rules'!$B$5,IF(J100&lt;=50,'Price Rules'!$B$6,'Price Rules'!$B$7)))</f>
        <v>4</v>
      </c>
      <c r="L100">
        <f t="shared" si="1"/>
        <v>130</v>
      </c>
      <c r="M100" t="s">
        <v>405</v>
      </c>
      <c r="N100" t="s">
        <v>171</v>
      </c>
      <c r="O100" t="s">
        <v>44</v>
      </c>
      <c r="P100">
        <v>118</v>
      </c>
      <c r="Q100" t="s">
        <v>195</v>
      </c>
      <c r="R100" t="s">
        <v>403</v>
      </c>
    </row>
    <row r="101" spans="1:18">
      <c r="A101" t="s">
        <v>31</v>
      </c>
      <c r="B101" t="s">
        <v>70</v>
      </c>
      <c r="C101" t="s">
        <v>216</v>
      </c>
      <c r="D101" t="s">
        <v>71</v>
      </c>
      <c r="E101" t="s">
        <v>73</v>
      </c>
      <c r="F101" t="s">
        <v>191</v>
      </c>
      <c r="G101" t="s">
        <v>406</v>
      </c>
      <c r="H101" t="s">
        <v>271</v>
      </c>
      <c r="I101">
        <v>170.32</v>
      </c>
      <c r="J101">
        <v>34.06</v>
      </c>
      <c r="K101">
        <f>IF(J101="","",IF(J101&lt;10,'Price Rules'!$B$5,IF(J101&lt;=50,'Price Rules'!$B$6,'Price Rules'!$B$7)))</f>
        <v>4</v>
      </c>
      <c r="L101">
        <f t="shared" si="1"/>
        <v>136</v>
      </c>
      <c r="M101" t="s">
        <v>407</v>
      </c>
      <c r="N101" t="s">
        <v>171</v>
      </c>
      <c r="O101" t="s">
        <v>44</v>
      </c>
      <c r="P101">
        <v>119</v>
      </c>
      <c r="Q101" t="s">
        <v>195</v>
      </c>
      <c r="R101" t="s">
        <v>403</v>
      </c>
    </row>
    <row r="102" spans="1:18">
      <c r="A102" t="s">
        <v>31</v>
      </c>
      <c r="B102" t="s">
        <v>70</v>
      </c>
      <c r="C102" t="s">
        <v>220</v>
      </c>
      <c r="D102" t="s">
        <v>71</v>
      </c>
      <c r="E102" t="s">
        <v>73</v>
      </c>
      <c r="F102" t="s">
        <v>191</v>
      </c>
      <c r="G102" t="s">
        <v>408</v>
      </c>
      <c r="H102" t="s">
        <v>271</v>
      </c>
      <c r="I102">
        <v>239.2</v>
      </c>
      <c r="J102">
        <v>47.84</v>
      </c>
      <c r="K102">
        <f>IF(J102="","",IF(J102&lt;10,'Price Rules'!$B$5,IF(J102&lt;=50,'Price Rules'!$B$6,'Price Rules'!$B$7)))</f>
        <v>4</v>
      </c>
      <c r="L102">
        <f t="shared" si="1"/>
        <v>191</v>
      </c>
      <c r="M102" t="s">
        <v>409</v>
      </c>
      <c r="N102" t="s">
        <v>171</v>
      </c>
      <c r="O102" t="s">
        <v>44</v>
      </c>
      <c r="P102">
        <v>120</v>
      </c>
      <c r="Q102" t="s">
        <v>195</v>
      </c>
      <c r="R102" t="s">
        <v>403</v>
      </c>
    </row>
    <row r="103" spans="1:18">
      <c r="A103" t="s">
        <v>31</v>
      </c>
      <c r="B103" t="s">
        <v>70</v>
      </c>
      <c r="C103" t="s">
        <v>224</v>
      </c>
      <c r="D103" t="s">
        <v>71</v>
      </c>
      <c r="E103" t="s">
        <v>73</v>
      </c>
      <c r="F103" t="s">
        <v>191</v>
      </c>
      <c r="G103" t="s">
        <v>410</v>
      </c>
      <c r="H103" t="s">
        <v>271</v>
      </c>
      <c r="I103">
        <v>252.7</v>
      </c>
      <c r="J103">
        <v>50.54</v>
      </c>
      <c r="K103">
        <f>IF(J103="","",IF(J103&lt;10,'Price Rules'!$B$5,IF(J103&lt;=50,'Price Rules'!$B$6,'Price Rules'!$B$7)))</f>
        <v>3.5</v>
      </c>
      <c r="L103">
        <f t="shared" si="1"/>
        <v>177</v>
      </c>
      <c r="M103" t="s">
        <v>411</v>
      </c>
      <c r="N103" t="s">
        <v>171</v>
      </c>
      <c r="O103" t="s">
        <v>44</v>
      </c>
      <c r="P103">
        <v>121</v>
      </c>
      <c r="Q103" t="s">
        <v>195</v>
      </c>
      <c r="R103" t="s">
        <v>403</v>
      </c>
    </row>
    <row r="104" spans="1:18">
      <c r="A104" t="s">
        <v>31</v>
      </c>
      <c r="B104" t="s">
        <v>74</v>
      </c>
      <c r="C104" t="s">
        <v>204</v>
      </c>
      <c r="D104" t="s">
        <v>75</v>
      </c>
      <c r="E104" t="s">
        <v>77</v>
      </c>
      <c r="F104" t="s">
        <v>191</v>
      </c>
      <c r="G104" t="s">
        <v>412</v>
      </c>
      <c r="H104" t="s">
        <v>271</v>
      </c>
      <c r="I104">
        <v>95.48</v>
      </c>
      <c r="J104">
        <v>19.1</v>
      </c>
      <c r="K104">
        <f>IF(J104="","",IF(J104&lt;10,'Price Rules'!$B$5,IF(J104&lt;=50,'Price Rules'!$B$6,'Price Rules'!$B$7)))</f>
        <v>4</v>
      </c>
      <c r="L104">
        <f t="shared" si="1"/>
        <v>76</v>
      </c>
      <c r="M104" t="s">
        <v>76</v>
      </c>
      <c r="N104" t="s">
        <v>171</v>
      </c>
      <c r="O104" t="s">
        <v>44</v>
      </c>
      <c r="P104">
        <v>124</v>
      </c>
      <c r="Q104" t="s">
        <v>195</v>
      </c>
      <c r="R104" t="s">
        <v>413</v>
      </c>
    </row>
    <row r="105" spans="1:18">
      <c r="A105" t="s">
        <v>31</v>
      </c>
      <c r="B105" t="s">
        <v>74</v>
      </c>
      <c r="C105" t="s">
        <v>208</v>
      </c>
      <c r="D105" t="s">
        <v>75</v>
      </c>
      <c r="E105" t="s">
        <v>77</v>
      </c>
      <c r="F105" t="s">
        <v>191</v>
      </c>
      <c r="G105" t="s">
        <v>414</v>
      </c>
      <c r="H105" t="s">
        <v>271</v>
      </c>
      <c r="I105">
        <v>185.05</v>
      </c>
      <c r="J105">
        <v>37.01</v>
      </c>
      <c r="K105">
        <f>IF(J105="","",IF(J105&lt;10,'Price Rules'!$B$5,IF(J105&lt;=50,'Price Rules'!$B$6,'Price Rules'!$B$7)))</f>
        <v>4</v>
      </c>
      <c r="L105">
        <f t="shared" si="1"/>
        <v>148</v>
      </c>
      <c r="M105" t="s">
        <v>415</v>
      </c>
      <c r="N105" t="s">
        <v>171</v>
      </c>
      <c r="O105" t="s">
        <v>44</v>
      </c>
      <c r="P105">
        <v>125</v>
      </c>
      <c r="Q105" t="s">
        <v>195</v>
      </c>
      <c r="R105" t="s">
        <v>413</v>
      </c>
    </row>
    <row r="106" spans="1:18">
      <c r="A106" t="s">
        <v>31</v>
      </c>
      <c r="B106" t="s">
        <v>74</v>
      </c>
      <c r="C106" t="s">
        <v>216</v>
      </c>
      <c r="D106" t="s">
        <v>75</v>
      </c>
      <c r="E106" t="s">
        <v>77</v>
      </c>
      <c r="F106" t="s">
        <v>191</v>
      </c>
      <c r="G106" t="s">
        <v>416</v>
      </c>
      <c r="H106" t="s">
        <v>271</v>
      </c>
      <c r="I106">
        <v>184.1</v>
      </c>
      <c r="J106">
        <v>36.82</v>
      </c>
      <c r="K106">
        <f>IF(J106="","",IF(J106&lt;10,'Price Rules'!$B$5,IF(J106&lt;=50,'Price Rules'!$B$6,'Price Rules'!$B$7)))</f>
        <v>4</v>
      </c>
      <c r="L106">
        <f t="shared" si="1"/>
        <v>147</v>
      </c>
      <c r="M106" t="s">
        <v>417</v>
      </c>
      <c r="N106" t="s">
        <v>171</v>
      </c>
      <c r="O106" t="s">
        <v>44</v>
      </c>
      <c r="P106">
        <v>126</v>
      </c>
      <c r="Q106" t="s">
        <v>195</v>
      </c>
      <c r="R106" t="s">
        <v>413</v>
      </c>
    </row>
    <row r="107" spans="1:18">
      <c r="A107" t="s">
        <v>31</v>
      </c>
      <c r="B107" t="s">
        <v>74</v>
      </c>
      <c r="C107" t="s">
        <v>220</v>
      </c>
      <c r="D107" t="s">
        <v>75</v>
      </c>
      <c r="E107" t="s">
        <v>77</v>
      </c>
      <c r="F107" t="s">
        <v>191</v>
      </c>
      <c r="G107" t="s">
        <v>418</v>
      </c>
      <c r="H107" t="s">
        <v>271</v>
      </c>
      <c r="I107">
        <v>266.75</v>
      </c>
      <c r="J107">
        <v>53.35</v>
      </c>
      <c r="K107">
        <f>IF(J107="","",IF(J107&lt;10,'Price Rules'!$B$5,IF(J107&lt;=50,'Price Rules'!$B$6,'Price Rules'!$B$7)))</f>
        <v>3.5</v>
      </c>
      <c r="L107">
        <f t="shared" si="1"/>
        <v>187</v>
      </c>
      <c r="M107" t="s">
        <v>419</v>
      </c>
      <c r="N107" t="s">
        <v>171</v>
      </c>
      <c r="O107" t="s">
        <v>44</v>
      </c>
      <c r="P107">
        <v>127</v>
      </c>
      <c r="Q107" t="s">
        <v>195</v>
      </c>
      <c r="R107" t="s">
        <v>413</v>
      </c>
    </row>
    <row r="108" spans="1:18">
      <c r="A108" t="s">
        <v>31</v>
      </c>
      <c r="B108" t="s">
        <v>74</v>
      </c>
      <c r="C108" t="s">
        <v>224</v>
      </c>
      <c r="D108" t="s">
        <v>75</v>
      </c>
      <c r="E108" t="s">
        <v>77</v>
      </c>
      <c r="F108" t="s">
        <v>191</v>
      </c>
      <c r="G108" t="s">
        <v>420</v>
      </c>
      <c r="H108" t="s">
        <v>271</v>
      </c>
      <c r="I108">
        <v>304.75</v>
      </c>
      <c r="J108">
        <v>60.95</v>
      </c>
      <c r="K108">
        <f>IF(J108="","",IF(J108&lt;10,'Price Rules'!$B$5,IF(J108&lt;=50,'Price Rules'!$B$6,'Price Rules'!$B$7)))</f>
        <v>3.5</v>
      </c>
      <c r="L108">
        <f t="shared" si="1"/>
        <v>213</v>
      </c>
      <c r="M108" t="s">
        <v>421</v>
      </c>
      <c r="N108" t="s">
        <v>171</v>
      </c>
      <c r="O108" t="s">
        <v>44</v>
      </c>
      <c r="P108">
        <v>128</v>
      </c>
      <c r="Q108" t="s">
        <v>195</v>
      </c>
      <c r="R108" t="s">
        <v>413</v>
      </c>
    </row>
    <row r="109" spans="1:18">
      <c r="A109" t="s">
        <v>31</v>
      </c>
      <c r="B109" t="s">
        <v>78</v>
      </c>
      <c r="C109" t="s">
        <v>204</v>
      </c>
      <c r="D109" t="s">
        <v>79</v>
      </c>
      <c r="E109" t="s">
        <v>81</v>
      </c>
      <c r="F109" t="s">
        <v>191</v>
      </c>
      <c r="G109" t="s">
        <v>422</v>
      </c>
      <c r="H109" t="s">
        <v>271</v>
      </c>
      <c r="I109">
        <v>97.65</v>
      </c>
      <c r="J109">
        <v>19.53</v>
      </c>
      <c r="K109">
        <f>IF(J109="","",IF(J109&lt;10,'Price Rules'!$B$5,IF(J109&lt;=50,'Price Rules'!$B$6,'Price Rules'!$B$7)))</f>
        <v>4</v>
      </c>
      <c r="L109">
        <f t="shared" si="1"/>
        <v>78</v>
      </c>
      <c r="M109" t="s">
        <v>80</v>
      </c>
      <c r="N109" t="s">
        <v>171</v>
      </c>
      <c r="O109" t="s">
        <v>44</v>
      </c>
      <c r="P109">
        <v>131</v>
      </c>
      <c r="Q109" t="s">
        <v>195</v>
      </c>
      <c r="R109" t="s">
        <v>423</v>
      </c>
    </row>
    <row r="110" spans="1:18">
      <c r="A110" t="s">
        <v>31</v>
      </c>
      <c r="B110" t="s">
        <v>78</v>
      </c>
      <c r="C110" t="s">
        <v>208</v>
      </c>
      <c r="D110" t="s">
        <v>79</v>
      </c>
      <c r="E110" t="s">
        <v>81</v>
      </c>
      <c r="F110" t="s">
        <v>191</v>
      </c>
      <c r="G110" t="s">
        <v>424</v>
      </c>
      <c r="H110" t="s">
        <v>271</v>
      </c>
      <c r="I110">
        <v>162.36</v>
      </c>
      <c r="J110">
        <v>32.47</v>
      </c>
      <c r="K110">
        <f>IF(J110="","",IF(J110&lt;10,'Price Rules'!$B$5,IF(J110&lt;=50,'Price Rules'!$B$6,'Price Rules'!$B$7)))</f>
        <v>4</v>
      </c>
      <c r="L110">
        <f t="shared" si="1"/>
        <v>130</v>
      </c>
      <c r="M110" t="s">
        <v>425</v>
      </c>
      <c r="N110" t="s">
        <v>171</v>
      </c>
      <c r="O110" t="s">
        <v>44</v>
      </c>
      <c r="P110">
        <v>132</v>
      </c>
      <c r="Q110" t="s">
        <v>195</v>
      </c>
      <c r="R110" t="s">
        <v>423</v>
      </c>
    </row>
    <row r="111" spans="1:18">
      <c r="A111" t="s">
        <v>31</v>
      </c>
      <c r="B111" t="s">
        <v>78</v>
      </c>
      <c r="C111" t="s">
        <v>216</v>
      </c>
      <c r="D111" t="s">
        <v>79</v>
      </c>
      <c r="E111" t="s">
        <v>81</v>
      </c>
      <c r="F111" t="s">
        <v>191</v>
      </c>
      <c r="G111" t="s">
        <v>426</v>
      </c>
      <c r="H111" t="s">
        <v>271</v>
      </c>
      <c r="I111">
        <v>187.9</v>
      </c>
      <c r="J111">
        <v>37.58</v>
      </c>
      <c r="K111">
        <f>IF(J111="","",IF(J111&lt;10,'Price Rules'!$B$5,IF(J111&lt;=50,'Price Rules'!$B$6,'Price Rules'!$B$7)))</f>
        <v>4</v>
      </c>
      <c r="L111">
        <f t="shared" si="1"/>
        <v>150</v>
      </c>
      <c r="M111" t="s">
        <v>427</v>
      </c>
      <c r="N111" t="s">
        <v>171</v>
      </c>
      <c r="O111" t="s">
        <v>44</v>
      </c>
      <c r="P111">
        <v>133</v>
      </c>
      <c r="Q111" t="s">
        <v>195</v>
      </c>
      <c r="R111" t="s">
        <v>423</v>
      </c>
    </row>
    <row r="112" spans="1:18">
      <c r="A112" t="s">
        <v>31</v>
      </c>
      <c r="B112" t="s">
        <v>78</v>
      </c>
      <c r="C112" t="s">
        <v>220</v>
      </c>
      <c r="D112" t="s">
        <v>79</v>
      </c>
      <c r="E112" t="s">
        <v>81</v>
      </c>
      <c r="F112" t="s">
        <v>191</v>
      </c>
      <c r="G112" t="s">
        <v>428</v>
      </c>
      <c r="H112" t="s">
        <v>271</v>
      </c>
      <c r="I112">
        <v>277.75</v>
      </c>
      <c r="J112">
        <v>55.55</v>
      </c>
      <c r="K112">
        <f>IF(J112="","",IF(J112&lt;10,'Price Rules'!$B$5,IF(J112&lt;=50,'Price Rules'!$B$6,'Price Rules'!$B$7)))</f>
        <v>3.5</v>
      </c>
      <c r="L112">
        <f t="shared" si="1"/>
        <v>194</v>
      </c>
      <c r="M112" t="s">
        <v>429</v>
      </c>
      <c r="N112" t="s">
        <v>171</v>
      </c>
      <c r="O112" t="s">
        <v>44</v>
      </c>
      <c r="P112">
        <v>134</v>
      </c>
      <c r="Q112" t="s">
        <v>195</v>
      </c>
      <c r="R112" t="s">
        <v>423</v>
      </c>
    </row>
    <row r="113" spans="1:18">
      <c r="A113" t="s">
        <v>31</v>
      </c>
      <c r="B113" t="s">
        <v>78</v>
      </c>
      <c r="C113" t="s">
        <v>224</v>
      </c>
      <c r="D113" t="s">
        <v>79</v>
      </c>
      <c r="E113" t="s">
        <v>81</v>
      </c>
      <c r="F113" t="s">
        <v>191</v>
      </c>
      <c r="G113" t="s">
        <v>430</v>
      </c>
      <c r="H113" t="s">
        <v>271</v>
      </c>
      <c r="I113">
        <v>304.75</v>
      </c>
      <c r="J113">
        <v>60.95</v>
      </c>
      <c r="K113">
        <f>IF(J113="","",IF(J113&lt;10,'Price Rules'!$B$5,IF(J113&lt;=50,'Price Rules'!$B$6,'Price Rules'!$B$7)))</f>
        <v>3.5</v>
      </c>
      <c r="L113">
        <f t="shared" si="1"/>
        <v>213</v>
      </c>
      <c r="M113" t="s">
        <v>431</v>
      </c>
      <c r="N113" t="s">
        <v>171</v>
      </c>
      <c r="O113" t="s">
        <v>44</v>
      </c>
      <c r="P113">
        <v>135</v>
      </c>
      <c r="Q113" t="s">
        <v>195</v>
      </c>
      <c r="R113" t="s">
        <v>423</v>
      </c>
    </row>
    <row r="114" spans="1:18">
      <c r="A114" t="s">
        <v>31</v>
      </c>
      <c r="B114" t="s">
        <v>82</v>
      </c>
      <c r="C114" t="s">
        <v>204</v>
      </c>
      <c r="D114" t="s">
        <v>83</v>
      </c>
      <c r="E114" t="s">
        <v>85</v>
      </c>
      <c r="F114" t="s">
        <v>191</v>
      </c>
      <c r="G114" t="s">
        <v>432</v>
      </c>
      <c r="H114" t="s">
        <v>271</v>
      </c>
      <c r="I114">
        <v>109.05</v>
      </c>
      <c r="J114">
        <v>21.81</v>
      </c>
      <c r="K114">
        <f>IF(J114="","",IF(J114&lt;10,'Price Rules'!$B$5,IF(J114&lt;=50,'Price Rules'!$B$6,'Price Rules'!$B$7)))</f>
        <v>4</v>
      </c>
      <c r="L114">
        <f t="shared" si="1"/>
        <v>87</v>
      </c>
      <c r="M114" t="s">
        <v>84</v>
      </c>
      <c r="N114" t="s">
        <v>171</v>
      </c>
      <c r="O114" t="s">
        <v>44</v>
      </c>
      <c r="P114">
        <v>138</v>
      </c>
      <c r="Q114" t="s">
        <v>195</v>
      </c>
      <c r="R114" t="s">
        <v>403</v>
      </c>
    </row>
    <row r="115" spans="1:18">
      <c r="A115" t="s">
        <v>31</v>
      </c>
      <c r="B115" t="s">
        <v>82</v>
      </c>
      <c r="C115" t="s">
        <v>216</v>
      </c>
      <c r="D115" t="s">
        <v>83</v>
      </c>
      <c r="E115" t="s">
        <v>85</v>
      </c>
      <c r="F115" t="s">
        <v>191</v>
      </c>
      <c r="G115" t="s">
        <v>433</v>
      </c>
      <c r="H115" t="s">
        <v>271</v>
      </c>
      <c r="I115">
        <v>175.1</v>
      </c>
      <c r="J115">
        <v>35.02</v>
      </c>
      <c r="K115">
        <f>IF(J115="","",IF(J115&lt;10,'Price Rules'!$B$5,IF(J115&lt;=50,'Price Rules'!$B$6,'Price Rules'!$B$7)))</f>
        <v>4</v>
      </c>
      <c r="L115">
        <f t="shared" si="1"/>
        <v>140</v>
      </c>
      <c r="M115" t="s">
        <v>434</v>
      </c>
      <c r="N115" t="s">
        <v>171</v>
      </c>
      <c r="O115" t="s">
        <v>44</v>
      </c>
      <c r="P115">
        <v>140</v>
      </c>
      <c r="Q115" t="s">
        <v>195</v>
      </c>
      <c r="R115" t="s">
        <v>403</v>
      </c>
    </row>
    <row r="116" spans="1:18">
      <c r="A116" t="s">
        <v>31</v>
      </c>
      <c r="B116" t="s">
        <v>82</v>
      </c>
      <c r="C116" t="s">
        <v>220</v>
      </c>
      <c r="D116" t="s">
        <v>83</v>
      </c>
      <c r="E116" t="s">
        <v>85</v>
      </c>
      <c r="F116" t="s">
        <v>191</v>
      </c>
      <c r="G116" t="s">
        <v>435</v>
      </c>
      <c r="H116" t="s">
        <v>271</v>
      </c>
      <c r="I116">
        <v>226.3</v>
      </c>
      <c r="J116">
        <v>45.26</v>
      </c>
      <c r="K116">
        <f>IF(J116="","",IF(J116&lt;10,'Price Rules'!$B$5,IF(J116&lt;=50,'Price Rules'!$B$6,'Price Rules'!$B$7)))</f>
        <v>4</v>
      </c>
      <c r="L116">
        <f t="shared" si="1"/>
        <v>181</v>
      </c>
      <c r="M116" t="s">
        <v>436</v>
      </c>
      <c r="N116" t="s">
        <v>171</v>
      </c>
      <c r="O116" t="s">
        <v>44</v>
      </c>
      <c r="P116">
        <v>141</v>
      </c>
      <c r="Q116" t="s">
        <v>195</v>
      </c>
      <c r="R116" t="s">
        <v>403</v>
      </c>
    </row>
    <row r="117" spans="1:18">
      <c r="A117" t="s">
        <v>31</v>
      </c>
      <c r="B117" t="s">
        <v>82</v>
      </c>
      <c r="C117" t="s">
        <v>224</v>
      </c>
      <c r="D117" t="s">
        <v>83</v>
      </c>
      <c r="E117" t="s">
        <v>85</v>
      </c>
      <c r="F117" t="s">
        <v>191</v>
      </c>
      <c r="G117" t="s">
        <v>437</v>
      </c>
      <c r="H117" t="s">
        <v>271</v>
      </c>
      <c r="I117">
        <v>287.75</v>
      </c>
      <c r="J117">
        <v>57.55</v>
      </c>
      <c r="K117">
        <f>IF(J117="","",IF(J117&lt;10,'Price Rules'!$B$5,IF(J117&lt;=50,'Price Rules'!$B$6,'Price Rules'!$B$7)))</f>
        <v>3.5</v>
      </c>
      <c r="L117">
        <f t="shared" si="1"/>
        <v>201</v>
      </c>
      <c r="M117" t="s">
        <v>438</v>
      </c>
      <c r="N117" t="s">
        <v>171</v>
      </c>
      <c r="O117" t="s">
        <v>44</v>
      </c>
      <c r="P117">
        <v>142</v>
      </c>
      <c r="Q117" t="s">
        <v>195</v>
      </c>
      <c r="R117" t="s">
        <v>403</v>
      </c>
    </row>
    <row r="118" spans="1:18">
      <c r="A118" t="s">
        <v>31</v>
      </c>
      <c r="B118" t="s">
        <v>86</v>
      </c>
      <c r="C118" t="s">
        <v>204</v>
      </c>
      <c r="D118" t="s">
        <v>87</v>
      </c>
      <c r="E118" t="s">
        <v>89</v>
      </c>
      <c r="F118" t="s">
        <v>191</v>
      </c>
      <c r="G118" t="s">
        <v>439</v>
      </c>
      <c r="H118" t="s">
        <v>271</v>
      </c>
      <c r="I118">
        <v>97.65</v>
      </c>
      <c r="J118">
        <v>19.53</v>
      </c>
      <c r="K118">
        <f>IF(J118="","",IF(J118&lt;10,'Price Rules'!$B$5,IF(J118&lt;=50,'Price Rules'!$B$6,'Price Rules'!$B$7)))</f>
        <v>4</v>
      </c>
      <c r="L118">
        <f t="shared" si="1"/>
        <v>78</v>
      </c>
      <c r="M118" t="s">
        <v>88</v>
      </c>
      <c r="N118" t="s">
        <v>171</v>
      </c>
      <c r="O118" t="s">
        <v>44</v>
      </c>
      <c r="P118">
        <v>145</v>
      </c>
      <c r="Q118" t="s">
        <v>195</v>
      </c>
      <c r="R118" t="s">
        <v>423</v>
      </c>
    </row>
    <row r="119" spans="1:18">
      <c r="A119" t="s">
        <v>31</v>
      </c>
      <c r="B119" t="s">
        <v>86</v>
      </c>
      <c r="C119" t="s">
        <v>208</v>
      </c>
      <c r="D119" t="s">
        <v>87</v>
      </c>
      <c r="E119" t="s">
        <v>89</v>
      </c>
      <c r="F119" t="s">
        <v>191</v>
      </c>
      <c r="G119" t="s">
        <v>440</v>
      </c>
      <c r="H119" t="s">
        <v>271</v>
      </c>
      <c r="I119">
        <v>159.05</v>
      </c>
      <c r="J119">
        <v>31.81</v>
      </c>
      <c r="K119">
        <f>IF(J119="","",IF(J119&lt;10,'Price Rules'!$B$5,IF(J119&lt;=50,'Price Rules'!$B$6,'Price Rules'!$B$7)))</f>
        <v>4</v>
      </c>
      <c r="L119">
        <f t="shared" si="1"/>
        <v>127</v>
      </c>
      <c r="M119" t="s">
        <v>441</v>
      </c>
      <c r="N119" t="s">
        <v>171</v>
      </c>
      <c r="O119" t="s">
        <v>44</v>
      </c>
      <c r="P119">
        <v>146</v>
      </c>
      <c r="Q119" t="s">
        <v>195</v>
      </c>
      <c r="R119" t="s">
        <v>423</v>
      </c>
    </row>
    <row r="120" spans="1:18">
      <c r="A120" t="s">
        <v>31</v>
      </c>
      <c r="B120" t="s">
        <v>86</v>
      </c>
      <c r="C120" t="s">
        <v>216</v>
      </c>
      <c r="D120" t="s">
        <v>87</v>
      </c>
      <c r="E120" t="s">
        <v>89</v>
      </c>
      <c r="F120" t="s">
        <v>191</v>
      </c>
      <c r="G120" t="s">
        <v>442</v>
      </c>
      <c r="H120" t="s">
        <v>271</v>
      </c>
      <c r="I120">
        <v>178.9</v>
      </c>
      <c r="J120">
        <v>35.78</v>
      </c>
      <c r="K120">
        <f>IF(J120="","",IF(J120&lt;10,'Price Rules'!$B$5,IF(J120&lt;=50,'Price Rules'!$B$6,'Price Rules'!$B$7)))</f>
        <v>4</v>
      </c>
      <c r="L120">
        <f t="shared" si="1"/>
        <v>143</v>
      </c>
      <c r="M120" t="s">
        <v>443</v>
      </c>
      <c r="N120" t="s">
        <v>171</v>
      </c>
      <c r="O120" t="s">
        <v>44</v>
      </c>
      <c r="P120">
        <v>147</v>
      </c>
      <c r="Q120" t="s">
        <v>195</v>
      </c>
      <c r="R120" t="s">
        <v>423</v>
      </c>
    </row>
    <row r="121" spans="1:18">
      <c r="A121" t="s">
        <v>31</v>
      </c>
      <c r="B121" t="s">
        <v>86</v>
      </c>
      <c r="C121" t="s">
        <v>220</v>
      </c>
      <c r="D121" t="s">
        <v>87</v>
      </c>
      <c r="E121" t="s">
        <v>89</v>
      </c>
      <c r="F121" t="s">
        <v>191</v>
      </c>
      <c r="G121" t="s">
        <v>444</v>
      </c>
      <c r="H121" t="s">
        <v>271</v>
      </c>
      <c r="I121">
        <v>226.2</v>
      </c>
      <c r="J121">
        <v>45.24</v>
      </c>
      <c r="K121">
        <f>IF(J121="","",IF(J121&lt;10,'Price Rules'!$B$5,IF(J121&lt;=50,'Price Rules'!$B$6,'Price Rules'!$B$7)))</f>
        <v>4</v>
      </c>
      <c r="L121">
        <f t="shared" si="1"/>
        <v>181</v>
      </c>
      <c r="M121" t="s">
        <v>445</v>
      </c>
      <c r="N121" t="s">
        <v>171</v>
      </c>
      <c r="O121" t="s">
        <v>44</v>
      </c>
      <c r="P121">
        <v>148</v>
      </c>
      <c r="Q121" t="s">
        <v>195</v>
      </c>
      <c r="R121" t="s">
        <v>423</v>
      </c>
    </row>
    <row r="122" spans="1:18">
      <c r="A122" t="s">
        <v>31</v>
      </c>
      <c r="B122" t="s">
        <v>86</v>
      </c>
      <c r="C122" t="s">
        <v>224</v>
      </c>
      <c r="D122" t="s">
        <v>87</v>
      </c>
      <c r="E122" t="s">
        <v>89</v>
      </c>
      <c r="F122" t="s">
        <v>191</v>
      </c>
      <c r="G122" t="s">
        <v>446</v>
      </c>
      <c r="H122" t="s">
        <v>271</v>
      </c>
      <c r="I122">
        <v>252.7</v>
      </c>
      <c r="J122">
        <v>50.54</v>
      </c>
      <c r="K122">
        <f>IF(J122="","",IF(J122&lt;10,'Price Rules'!$B$5,IF(J122&lt;=50,'Price Rules'!$B$6,'Price Rules'!$B$7)))</f>
        <v>3.5</v>
      </c>
      <c r="L122">
        <f t="shared" si="1"/>
        <v>177</v>
      </c>
      <c r="M122" t="s">
        <v>447</v>
      </c>
      <c r="N122" t="s">
        <v>171</v>
      </c>
      <c r="O122" t="s">
        <v>44</v>
      </c>
      <c r="P122">
        <v>149</v>
      </c>
      <c r="Q122" t="s">
        <v>195</v>
      </c>
      <c r="R122" t="s">
        <v>423</v>
      </c>
    </row>
    <row r="123" spans="1:18">
      <c r="A123" t="s">
        <v>31</v>
      </c>
      <c r="B123" t="s">
        <v>90</v>
      </c>
      <c r="C123" t="s">
        <v>204</v>
      </c>
      <c r="D123" t="s">
        <v>91</v>
      </c>
      <c r="E123" t="s">
        <v>93</v>
      </c>
      <c r="F123" t="s">
        <v>191</v>
      </c>
      <c r="G123" t="s">
        <v>448</v>
      </c>
      <c r="H123" t="s">
        <v>271</v>
      </c>
      <c r="I123">
        <v>95.48</v>
      </c>
      <c r="J123">
        <v>19.1</v>
      </c>
      <c r="K123">
        <f>IF(J123="","",IF(J123&lt;10,'Price Rules'!$B$5,IF(J123&lt;=50,'Price Rules'!$B$6,'Price Rules'!$B$7)))</f>
        <v>4</v>
      </c>
      <c r="L123">
        <f t="shared" si="1"/>
        <v>76</v>
      </c>
      <c r="M123" t="s">
        <v>92</v>
      </c>
      <c r="N123" t="s">
        <v>171</v>
      </c>
      <c r="O123" t="s">
        <v>44</v>
      </c>
      <c r="P123">
        <v>152</v>
      </c>
      <c r="Q123" t="s">
        <v>195</v>
      </c>
      <c r="R123" t="s">
        <v>423</v>
      </c>
    </row>
    <row r="124" spans="1:18">
      <c r="A124" t="s">
        <v>31</v>
      </c>
      <c r="B124" t="s">
        <v>90</v>
      </c>
      <c r="C124" t="s">
        <v>208</v>
      </c>
      <c r="D124" t="s">
        <v>91</v>
      </c>
      <c r="E124" t="s">
        <v>93</v>
      </c>
      <c r="F124" t="s">
        <v>191</v>
      </c>
      <c r="G124" t="s">
        <v>449</v>
      </c>
      <c r="H124" t="s">
        <v>271</v>
      </c>
      <c r="I124">
        <v>155.36</v>
      </c>
      <c r="J124">
        <v>31.07</v>
      </c>
      <c r="K124">
        <f>IF(J124="","",IF(J124&lt;10,'Price Rules'!$B$5,IF(J124&lt;=50,'Price Rules'!$B$6,'Price Rules'!$B$7)))</f>
        <v>4</v>
      </c>
      <c r="L124">
        <f t="shared" si="1"/>
        <v>124</v>
      </c>
      <c r="M124" t="s">
        <v>450</v>
      </c>
      <c r="N124" t="s">
        <v>171</v>
      </c>
      <c r="O124" t="s">
        <v>44</v>
      </c>
      <c r="P124">
        <v>153</v>
      </c>
      <c r="Q124" t="s">
        <v>195</v>
      </c>
      <c r="R124" t="s">
        <v>423</v>
      </c>
    </row>
    <row r="125" spans="1:18">
      <c r="A125" t="s">
        <v>31</v>
      </c>
      <c r="B125" t="s">
        <v>90</v>
      </c>
      <c r="C125" t="s">
        <v>216</v>
      </c>
      <c r="D125" t="s">
        <v>91</v>
      </c>
      <c r="E125" t="s">
        <v>93</v>
      </c>
      <c r="F125" t="s">
        <v>191</v>
      </c>
      <c r="G125" t="s">
        <v>451</v>
      </c>
      <c r="H125" t="s">
        <v>271</v>
      </c>
      <c r="I125">
        <v>175.1</v>
      </c>
      <c r="J125">
        <v>35.02</v>
      </c>
      <c r="K125">
        <f>IF(J125="","",IF(J125&lt;10,'Price Rules'!$B$5,IF(J125&lt;=50,'Price Rules'!$B$6,'Price Rules'!$B$7)))</f>
        <v>4</v>
      </c>
      <c r="L125">
        <f t="shared" si="1"/>
        <v>140</v>
      </c>
      <c r="M125" t="s">
        <v>452</v>
      </c>
      <c r="N125" t="s">
        <v>171</v>
      </c>
      <c r="O125" t="s">
        <v>44</v>
      </c>
      <c r="P125">
        <v>154</v>
      </c>
      <c r="Q125" t="s">
        <v>195</v>
      </c>
      <c r="R125" t="s">
        <v>423</v>
      </c>
    </row>
    <row r="126" spans="1:18">
      <c r="A126" t="s">
        <v>31</v>
      </c>
      <c r="B126" t="s">
        <v>90</v>
      </c>
      <c r="C126" t="s">
        <v>220</v>
      </c>
      <c r="D126" t="s">
        <v>91</v>
      </c>
      <c r="E126" t="s">
        <v>93</v>
      </c>
      <c r="F126" t="s">
        <v>191</v>
      </c>
      <c r="G126" t="s">
        <v>453</v>
      </c>
      <c r="H126" t="s">
        <v>271</v>
      </c>
      <c r="I126">
        <v>252.75</v>
      </c>
      <c r="J126">
        <v>50.55</v>
      </c>
      <c r="K126">
        <f>IF(J126="","",IF(J126&lt;10,'Price Rules'!$B$5,IF(J126&lt;=50,'Price Rules'!$B$6,'Price Rules'!$B$7)))</f>
        <v>3.5</v>
      </c>
      <c r="L126">
        <f t="shared" si="1"/>
        <v>177</v>
      </c>
      <c r="M126" t="s">
        <v>454</v>
      </c>
      <c r="N126" t="s">
        <v>171</v>
      </c>
      <c r="O126" t="s">
        <v>44</v>
      </c>
      <c r="P126">
        <v>155</v>
      </c>
      <c r="Q126" t="s">
        <v>195</v>
      </c>
      <c r="R126" t="s">
        <v>423</v>
      </c>
    </row>
    <row r="127" spans="1:18">
      <c r="A127" t="s">
        <v>31</v>
      </c>
      <c r="B127" t="s">
        <v>90</v>
      </c>
      <c r="C127" t="s">
        <v>224</v>
      </c>
      <c r="D127" t="s">
        <v>91</v>
      </c>
      <c r="E127" t="s">
        <v>93</v>
      </c>
      <c r="F127" t="s">
        <v>191</v>
      </c>
      <c r="G127" t="s">
        <v>455</v>
      </c>
      <c r="H127" t="s">
        <v>271</v>
      </c>
      <c r="I127">
        <v>287.75</v>
      </c>
      <c r="J127">
        <v>57.55</v>
      </c>
      <c r="K127">
        <f>IF(J127="","",IF(J127&lt;10,'Price Rules'!$B$5,IF(J127&lt;=50,'Price Rules'!$B$6,'Price Rules'!$B$7)))</f>
        <v>3.5</v>
      </c>
      <c r="L127">
        <f t="shared" si="1"/>
        <v>201</v>
      </c>
      <c r="M127" t="s">
        <v>456</v>
      </c>
      <c r="N127" t="s">
        <v>171</v>
      </c>
      <c r="O127" t="s">
        <v>44</v>
      </c>
      <c r="P127">
        <v>156</v>
      </c>
      <c r="Q127" t="s">
        <v>195</v>
      </c>
      <c r="R127" t="s">
        <v>423</v>
      </c>
    </row>
    <row r="128" spans="1:18">
      <c r="A128" t="s">
        <v>31</v>
      </c>
      <c r="B128" t="s">
        <v>94</v>
      </c>
      <c r="C128" t="s">
        <v>204</v>
      </c>
      <c r="D128" t="s">
        <v>95</v>
      </c>
      <c r="E128" t="s">
        <v>97</v>
      </c>
      <c r="F128" t="s">
        <v>191</v>
      </c>
      <c r="G128" t="s">
        <v>457</v>
      </c>
      <c r="H128" t="s">
        <v>271</v>
      </c>
      <c r="I128">
        <v>95.48</v>
      </c>
      <c r="J128">
        <v>19.1</v>
      </c>
      <c r="K128">
        <f>IF(J128="","",IF(J128&lt;10,'Price Rules'!$B$5,IF(J128&lt;=50,'Price Rules'!$B$6,'Price Rules'!$B$7)))</f>
        <v>4</v>
      </c>
      <c r="L128">
        <f t="shared" si="1"/>
        <v>76</v>
      </c>
      <c r="M128" t="s">
        <v>96</v>
      </c>
      <c r="N128" t="s">
        <v>171</v>
      </c>
      <c r="O128" t="s">
        <v>44</v>
      </c>
      <c r="P128">
        <v>159</v>
      </c>
      <c r="Q128" t="s">
        <v>195</v>
      </c>
      <c r="R128" t="s">
        <v>230</v>
      </c>
    </row>
    <row r="129" spans="1:18">
      <c r="A129" t="s">
        <v>31</v>
      </c>
      <c r="B129" t="s">
        <v>94</v>
      </c>
      <c r="C129" t="s">
        <v>208</v>
      </c>
      <c r="D129" t="s">
        <v>95</v>
      </c>
      <c r="E129" t="s">
        <v>97</v>
      </c>
      <c r="F129" t="s">
        <v>191</v>
      </c>
      <c r="G129" t="s">
        <v>458</v>
      </c>
      <c r="H129" t="s">
        <v>271</v>
      </c>
      <c r="I129">
        <v>185.05</v>
      </c>
      <c r="J129">
        <v>37.01</v>
      </c>
      <c r="K129">
        <f>IF(J129="","",IF(J129&lt;10,'Price Rules'!$B$5,IF(J129&lt;=50,'Price Rules'!$B$6,'Price Rules'!$B$7)))</f>
        <v>4</v>
      </c>
      <c r="L129">
        <f t="shared" si="1"/>
        <v>148</v>
      </c>
      <c r="M129" t="s">
        <v>459</v>
      </c>
      <c r="N129" t="s">
        <v>171</v>
      </c>
      <c r="O129" t="s">
        <v>44</v>
      </c>
      <c r="P129">
        <v>160</v>
      </c>
      <c r="Q129" t="s">
        <v>195</v>
      </c>
      <c r="R129" t="s">
        <v>230</v>
      </c>
    </row>
    <row r="130" spans="1:18">
      <c r="A130" t="s">
        <v>31</v>
      </c>
      <c r="B130" t="s">
        <v>94</v>
      </c>
      <c r="C130" t="s">
        <v>216</v>
      </c>
      <c r="D130" t="s">
        <v>95</v>
      </c>
      <c r="E130" t="s">
        <v>97</v>
      </c>
      <c r="F130" t="s">
        <v>191</v>
      </c>
      <c r="G130" t="s">
        <v>460</v>
      </c>
      <c r="H130" t="s">
        <v>271</v>
      </c>
      <c r="I130">
        <v>184.1</v>
      </c>
      <c r="J130">
        <v>36.82</v>
      </c>
      <c r="K130">
        <f>IF(J130="","",IF(J130&lt;10,'Price Rules'!$B$5,IF(J130&lt;=50,'Price Rules'!$B$6,'Price Rules'!$B$7)))</f>
        <v>4</v>
      </c>
      <c r="L130">
        <f t="shared" si="1"/>
        <v>147</v>
      </c>
      <c r="M130" t="s">
        <v>461</v>
      </c>
      <c r="N130" t="s">
        <v>171</v>
      </c>
      <c r="O130" t="s">
        <v>44</v>
      </c>
      <c r="P130">
        <v>161</v>
      </c>
      <c r="Q130" t="s">
        <v>195</v>
      </c>
      <c r="R130" t="s">
        <v>230</v>
      </c>
    </row>
    <row r="131" spans="1:18">
      <c r="A131" t="s">
        <v>31</v>
      </c>
      <c r="B131" t="s">
        <v>94</v>
      </c>
      <c r="C131" t="s">
        <v>220</v>
      </c>
      <c r="D131" t="s">
        <v>95</v>
      </c>
      <c r="E131" t="s">
        <v>97</v>
      </c>
      <c r="F131" t="s">
        <v>191</v>
      </c>
      <c r="G131" t="s">
        <v>462</v>
      </c>
      <c r="H131" t="s">
        <v>271</v>
      </c>
      <c r="I131">
        <v>239.2</v>
      </c>
      <c r="J131">
        <v>47.84</v>
      </c>
      <c r="K131">
        <f>IF(J131="","",IF(J131&lt;10,'Price Rules'!$B$5,IF(J131&lt;=50,'Price Rules'!$B$6,'Price Rules'!$B$7)))</f>
        <v>4</v>
      </c>
      <c r="L131">
        <f t="shared" si="1"/>
        <v>191</v>
      </c>
      <c r="M131" t="s">
        <v>463</v>
      </c>
      <c r="N131" t="s">
        <v>171</v>
      </c>
      <c r="O131" t="s">
        <v>44</v>
      </c>
      <c r="P131">
        <v>162</v>
      </c>
      <c r="Q131" t="s">
        <v>195</v>
      </c>
      <c r="R131" t="s">
        <v>230</v>
      </c>
    </row>
    <row r="132" spans="1:18">
      <c r="A132" t="s">
        <v>31</v>
      </c>
      <c r="B132" t="s">
        <v>94</v>
      </c>
      <c r="C132" t="s">
        <v>224</v>
      </c>
      <c r="D132" t="s">
        <v>95</v>
      </c>
      <c r="E132" t="s">
        <v>97</v>
      </c>
      <c r="F132" t="s">
        <v>191</v>
      </c>
      <c r="G132" t="s">
        <v>464</v>
      </c>
      <c r="H132" t="s">
        <v>271</v>
      </c>
      <c r="I132">
        <v>287.75</v>
      </c>
      <c r="J132">
        <v>57.55</v>
      </c>
      <c r="K132">
        <f>IF(J132="","",IF(J132&lt;10,'Price Rules'!$B$5,IF(J132&lt;=50,'Price Rules'!$B$6,'Price Rules'!$B$7)))</f>
        <v>3.5</v>
      </c>
      <c r="L132">
        <f t="shared" si="1"/>
        <v>201</v>
      </c>
      <c r="M132" t="s">
        <v>465</v>
      </c>
      <c r="N132" t="s">
        <v>171</v>
      </c>
      <c r="O132" t="s">
        <v>44</v>
      </c>
      <c r="P132">
        <v>163</v>
      </c>
      <c r="Q132" t="s">
        <v>195</v>
      </c>
      <c r="R132" t="s">
        <v>230</v>
      </c>
    </row>
    <row r="133" spans="1:18">
      <c r="A133" t="s">
        <v>31</v>
      </c>
      <c r="B133" t="s">
        <v>98</v>
      </c>
      <c r="C133" t="s">
        <v>204</v>
      </c>
      <c r="D133" t="s">
        <v>99</v>
      </c>
      <c r="E133" t="s">
        <v>101</v>
      </c>
      <c r="F133" t="s">
        <v>191</v>
      </c>
      <c r="G133" t="s">
        <v>466</v>
      </c>
      <c r="H133" t="s">
        <v>271</v>
      </c>
      <c r="I133">
        <v>97.65</v>
      </c>
      <c r="J133">
        <v>19.53</v>
      </c>
      <c r="K133">
        <f>IF(J133="","",IF(J133&lt;10,'Price Rules'!$B$5,IF(J133&lt;=50,'Price Rules'!$B$6,'Price Rules'!$B$7)))</f>
        <v>4</v>
      </c>
      <c r="L133">
        <f t="shared" ref="L133:L196" si="2">IF(J133="","",ROUND(J133*K133,0))</f>
        <v>78</v>
      </c>
      <c r="M133" t="s">
        <v>100</v>
      </c>
      <c r="N133" t="s">
        <v>171</v>
      </c>
      <c r="O133" t="s">
        <v>44</v>
      </c>
      <c r="P133">
        <v>166</v>
      </c>
      <c r="Q133" t="s">
        <v>195</v>
      </c>
      <c r="R133" t="s">
        <v>403</v>
      </c>
    </row>
    <row r="134" spans="1:18">
      <c r="A134" t="s">
        <v>31</v>
      </c>
      <c r="B134" t="s">
        <v>98</v>
      </c>
      <c r="C134" t="s">
        <v>208</v>
      </c>
      <c r="D134" t="s">
        <v>99</v>
      </c>
      <c r="E134" t="s">
        <v>101</v>
      </c>
      <c r="F134" t="s">
        <v>191</v>
      </c>
      <c r="G134" t="s">
        <v>467</v>
      </c>
      <c r="H134" t="s">
        <v>271</v>
      </c>
      <c r="I134">
        <v>162.36</v>
      </c>
      <c r="J134">
        <v>32.47</v>
      </c>
      <c r="K134">
        <f>IF(J134="","",IF(J134&lt;10,'Price Rules'!$B$5,IF(J134&lt;=50,'Price Rules'!$B$6,'Price Rules'!$B$7)))</f>
        <v>4</v>
      </c>
      <c r="L134">
        <f t="shared" si="2"/>
        <v>130</v>
      </c>
      <c r="M134" t="s">
        <v>468</v>
      </c>
      <c r="N134" t="s">
        <v>171</v>
      </c>
      <c r="O134" t="s">
        <v>44</v>
      </c>
      <c r="P134">
        <v>167</v>
      </c>
      <c r="Q134" t="s">
        <v>195</v>
      </c>
      <c r="R134" t="s">
        <v>403</v>
      </c>
    </row>
    <row r="135" spans="1:18">
      <c r="A135" t="s">
        <v>31</v>
      </c>
      <c r="B135" t="s">
        <v>98</v>
      </c>
      <c r="C135" t="s">
        <v>216</v>
      </c>
      <c r="D135" t="s">
        <v>99</v>
      </c>
      <c r="E135" t="s">
        <v>101</v>
      </c>
      <c r="F135" t="s">
        <v>191</v>
      </c>
      <c r="G135" t="s">
        <v>469</v>
      </c>
      <c r="H135" t="s">
        <v>271</v>
      </c>
      <c r="I135">
        <v>170.32</v>
      </c>
      <c r="J135">
        <v>34.06</v>
      </c>
      <c r="K135">
        <f>IF(J135="","",IF(J135&lt;10,'Price Rules'!$B$5,IF(J135&lt;=50,'Price Rules'!$B$6,'Price Rules'!$B$7)))</f>
        <v>4</v>
      </c>
      <c r="L135">
        <f t="shared" si="2"/>
        <v>136</v>
      </c>
      <c r="M135" t="s">
        <v>470</v>
      </c>
      <c r="N135" t="s">
        <v>171</v>
      </c>
      <c r="O135" t="s">
        <v>44</v>
      </c>
      <c r="P135">
        <v>168</v>
      </c>
      <c r="Q135" t="s">
        <v>195</v>
      </c>
      <c r="R135" t="s">
        <v>403</v>
      </c>
    </row>
    <row r="136" spans="1:18">
      <c r="A136" t="s">
        <v>31</v>
      </c>
      <c r="B136" t="s">
        <v>98</v>
      </c>
      <c r="C136" t="s">
        <v>220</v>
      </c>
      <c r="D136" t="s">
        <v>99</v>
      </c>
      <c r="E136" t="s">
        <v>101</v>
      </c>
      <c r="F136" t="s">
        <v>191</v>
      </c>
      <c r="G136" t="s">
        <v>471</v>
      </c>
      <c r="H136" t="s">
        <v>271</v>
      </c>
      <c r="I136">
        <v>239.2</v>
      </c>
      <c r="J136">
        <v>47.84</v>
      </c>
      <c r="K136">
        <f>IF(J136="","",IF(J136&lt;10,'Price Rules'!$B$5,IF(J136&lt;=50,'Price Rules'!$B$6,'Price Rules'!$B$7)))</f>
        <v>4</v>
      </c>
      <c r="L136">
        <f t="shared" si="2"/>
        <v>191</v>
      </c>
      <c r="M136" t="s">
        <v>472</v>
      </c>
      <c r="N136" t="s">
        <v>171</v>
      </c>
      <c r="O136" t="s">
        <v>44</v>
      </c>
      <c r="P136">
        <v>169</v>
      </c>
      <c r="Q136" t="s">
        <v>195</v>
      </c>
      <c r="R136" t="s">
        <v>403</v>
      </c>
    </row>
    <row r="137" spans="1:18">
      <c r="A137" t="s">
        <v>31</v>
      </c>
      <c r="B137" t="s">
        <v>98</v>
      </c>
      <c r="C137" t="s">
        <v>224</v>
      </c>
      <c r="D137" t="s">
        <v>99</v>
      </c>
      <c r="E137" t="s">
        <v>101</v>
      </c>
      <c r="F137" t="s">
        <v>191</v>
      </c>
      <c r="G137" t="s">
        <v>473</v>
      </c>
      <c r="H137" t="s">
        <v>271</v>
      </c>
      <c r="I137">
        <v>252.7</v>
      </c>
      <c r="J137">
        <v>50.54</v>
      </c>
      <c r="K137">
        <f>IF(J137="","",IF(J137&lt;10,'Price Rules'!$B$5,IF(J137&lt;=50,'Price Rules'!$B$6,'Price Rules'!$B$7)))</f>
        <v>3.5</v>
      </c>
      <c r="L137">
        <f t="shared" si="2"/>
        <v>177</v>
      </c>
      <c r="M137" t="s">
        <v>474</v>
      </c>
      <c r="N137" t="s">
        <v>171</v>
      </c>
      <c r="O137" t="s">
        <v>44</v>
      </c>
      <c r="P137">
        <v>170</v>
      </c>
      <c r="Q137" t="s">
        <v>195</v>
      </c>
      <c r="R137" t="s">
        <v>403</v>
      </c>
    </row>
    <row r="138" spans="1:18">
      <c r="A138" t="s">
        <v>31</v>
      </c>
      <c r="B138" t="s">
        <v>102</v>
      </c>
      <c r="C138" t="s">
        <v>204</v>
      </c>
      <c r="D138" t="s">
        <v>103</v>
      </c>
      <c r="E138" t="s">
        <v>105</v>
      </c>
      <c r="F138" t="s">
        <v>191</v>
      </c>
      <c r="G138" t="s">
        <v>475</v>
      </c>
      <c r="H138" t="s">
        <v>271</v>
      </c>
      <c r="I138">
        <v>109.05</v>
      </c>
      <c r="J138">
        <v>21.81</v>
      </c>
      <c r="K138">
        <f>IF(J138="","",IF(J138&lt;10,'Price Rules'!$B$5,IF(J138&lt;=50,'Price Rules'!$B$6,'Price Rules'!$B$7)))</f>
        <v>4</v>
      </c>
      <c r="L138">
        <f t="shared" si="2"/>
        <v>87</v>
      </c>
      <c r="M138" t="s">
        <v>104</v>
      </c>
      <c r="N138" t="s">
        <v>171</v>
      </c>
      <c r="O138" t="s">
        <v>44</v>
      </c>
      <c r="P138">
        <v>173</v>
      </c>
      <c r="Q138" t="s">
        <v>195</v>
      </c>
      <c r="R138" t="s">
        <v>413</v>
      </c>
    </row>
    <row r="139" spans="1:18">
      <c r="A139" t="s">
        <v>31</v>
      </c>
      <c r="B139" t="s">
        <v>102</v>
      </c>
      <c r="C139" t="s">
        <v>208</v>
      </c>
      <c r="D139" t="s">
        <v>103</v>
      </c>
      <c r="E139" t="s">
        <v>105</v>
      </c>
      <c r="F139" t="s">
        <v>191</v>
      </c>
      <c r="G139" t="s">
        <v>476</v>
      </c>
      <c r="H139" t="s">
        <v>271</v>
      </c>
      <c r="I139">
        <v>159.05</v>
      </c>
      <c r="J139">
        <v>31.81</v>
      </c>
      <c r="K139">
        <f>IF(J139="","",IF(J139&lt;10,'Price Rules'!$B$5,IF(J139&lt;=50,'Price Rules'!$B$6,'Price Rules'!$B$7)))</f>
        <v>4</v>
      </c>
      <c r="L139">
        <f t="shared" si="2"/>
        <v>127</v>
      </c>
      <c r="M139" t="s">
        <v>477</v>
      </c>
      <c r="N139" t="s">
        <v>171</v>
      </c>
      <c r="O139" t="s">
        <v>44</v>
      </c>
      <c r="P139">
        <v>174</v>
      </c>
      <c r="Q139" t="s">
        <v>195</v>
      </c>
      <c r="R139" t="s">
        <v>413</v>
      </c>
    </row>
    <row r="140" spans="1:18">
      <c r="A140" t="s">
        <v>31</v>
      </c>
      <c r="B140" t="s">
        <v>102</v>
      </c>
      <c r="C140" t="s">
        <v>216</v>
      </c>
      <c r="D140" t="s">
        <v>103</v>
      </c>
      <c r="E140" t="s">
        <v>105</v>
      </c>
      <c r="F140" t="s">
        <v>191</v>
      </c>
      <c r="G140" t="s">
        <v>478</v>
      </c>
      <c r="H140" t="s">
        <v>271</v>
      </c>
      <c r="I140">
        <v>175.1</v>
      </c>
      <c r="J140">
        <v>35.02</v>
      </c>
      <c r="K140">
        <f>IF(J140="","",IF(J140&lt;10,'Price Rules'!$B$5,IF(J140&lt;=50,'Price Rules'!$B$6,'Price Rules'!$B$7)))</f>
        <v>4</v>
      </c>
      <c r="L140">
        <f t="shared" si="2"/>
        <v>140</v>
      </c>
      <c r="M140" t="s">
        <v>479</v>
      </c>
      <c r="N140" t="s">
        <v>171</v>
      </c>
      <c r="O140" t="s">
        <v>44</v>
      </c>
      <c r="P140">
        <v>175</v>
      </c>
      <c r="Q140" t="s">
        <v>195</v>
      </c>
      <c r="R140" t="s">
        <v>413</v>
      </c>
    </row>
    <row r="141" spans="1:18">
      <c r="A141" t="s">
        <v>31</v>
      </c>
      <c r="B141" t="s">
        <v>102</v>
      </c>
      <c r="C141" t="s">
        <v>220</v>
      </c>
      <c r="D141" t="s">
        <v>103</v>
      </c>
      <c r="E141" t="s">
        <v>105</v>
      </c>
      <c r="F141" t="s">
        <v>191</v>
      </c>
      <c r="G141" t="s">
        <v>480</v>
      </c>
      <c r="H141" t="s">
        <v>271</v>
      </c>
      <c r="I141">
        <v>252.75</v>
      </c>
      <c r="J141">
        <v>50.55</v>
      </c>
      <c r="K141">
        <f>IF(J141="","",IF(J141&lt;10,'Price Rules'!$B$5,IF(J141&lt;=50,'Price Rules'!$B$6,'Price Rules'!$B$7)))</f>
        <v>3.5</v>
      </c>
      <c r="L141">
        <f t="shared" si="2"/>
        <v>177</v>
      </c>
      <c r="M141" t="s">
        <v>481</v>
      </c>
      <c r="N141" t="s">
        <v>171</v>
      </c>
      <c r="O141" t="s">
        <v>44</v>
      </c>
      <c r="P141">
        <v>176</v>
      </c>
      <c r="Q141" t="s">
        <v>195</v>
      </c>
      <c r="R141" t="s">
        <v>413</v>
      </c>
    </row>
    <row r="142" spans="1:18">
      <c r="A142" t="s">
        <v>31</v>
      </c>
      <c r="B142" t="s">
        <v>102</v>
      </c>
      <c r="C142" t="s">
        <v>224</v>
      </c>
      <c r="D142" t="s">
        <v>103</v>
      </c>
      <c r="E142" t="s">
        <v>105</v>
      </c>
      <c r="F142" t="s">
        <v>191</v>
      </c>
      <c r="G142" t="s">
        <v>482</v>
      </c>
      <c r="H142" t="s">
        <v>271</v>
      </c>
      <c r="I142">
        <v>287.75</v>
      </c>
      <c r="J142">
        <v>57.55</v>
      </c>
      <c r="K142">
        <f>IF(J142="","",IF(J142&lt;10,'Price Rules'!$B$5,IF(J142&lt;=50,'Price Rules'!$B$6,'Price Rules'!$B$7)))</f>
        <v>3.5</v>
      </c>
      <c r="L142">
        <f t="shared" si="2"/>
        <v>201</v>
      </c>
      <c r="M142" t="s">
        <v>483</v>
      </c>
      <c r="N142" t="s">
        <v>171</v>
      </c>
      <c r="O142" t="s">
        <v>44</v>
      </c>
      <c r="P142">
        <v>177</v>
      </c>
      <c r="Q142" t="s">
        <v>195</v>
      </c>
      <c r="R142" t="s">
        <v>413</v>
      </c>
    </row>
    <row r="143" spans="1:18">
      <c r="A143" t="s">
        <v>31</v>
      </c>
      <c r="B143" t="s">
        <v>106</v>
      </c>
      <c r="C143" t="s">
        <v>204</v>
      </c>
      <c r="D143" t="s">
        <v>107</v>
      </c>
      <c r="E143" t="s">
        <v>109</v>
      </c>
      <c r="F143" t="s">
        <v>191</v>
      </c>
      <c r="G143" t="s">
        <v>484</v>
      </c>
      <c r="H143" t="s">
        <v>271</v>
      </c>
      <c r="I143">
        <v>97.65</v>
      </c>
      <c r="J143">
        <v>19.53</v>
      </c>
      <c r="K143">
        <f>IF(J143="","",IF(J143&lt;10,'Price Rules'!$B$5,IF(J143&lt;=50,'Price Rules'!$B$6,'Price Rules'!$B$7)))</f>
        <v>4</v>
      </c>
      <c r="L143">
        <f t="shared" si="2"/>
        <v>78</v>
      </c>
      <c r="M143" t="s">
        <v>108</v>
      </c>
      <c r="N143" t="s">
        <v>171</v>
      </c>
      <c r="O143" t="s">
        <v>44</v>
      </c>
      <c r="P143">
        <v>180</v>
      </c>
      <c r="Q143" t="s">
        <v>195</v>
      </c>
      <c r="R143" t="s">
        <v>230</v>
      </c>
    </row>
    <row r="144" spans="1:18">
      <c r="A144" t="s">
        <v>31</v>
      </c>
      <c r="B144" t="s">
        <v>106</v>
      </c>
      <c r="C144" t="s">
        <v>208</v>
      </c>
      <c r="D144" t="s">
        <v>107</v>
      </c>
      <c r="E144" t="s">
        <v>109</v>
      </c>
      <c r="F144" t="s">
        <v>191</v>
      </c>
      <c r="G144" t="s">
        <v>485</v>
      </c>
      <c r="H144" t="s">
        <v>271</v>
      </c>
      <c r="I144">
        <v>155.36</v>
      </c>
      <c r="J144">
        <v>31.07</v>
      </c>
      <c r="K144">
        <f>IF(J144="","",IF(J144&lt;10,'Price Rules'!$B$5,IF(J144&lt;=50,'Price Rules'!$B$6,'Price Rules'!$B$7)))</f>
        <v>4</v>
      </c>
      <c r="L144">
        <f t="shared" si="2"/>
        <v>124</v>
      </c>
      <c r="M144" t="s">
        <v>486</v>
      </c>
      <c r="N144" t="s">
        <v>171</v>
      </c>
      <c r="O144" t="s">
        <v>44</v>
      </c>
      <c r="P144">
        <v>181</v>
      </c>
      <c r="Q144" t="s">
        <v>195</v>
      </c>
      <c r="R144" t="s">
        <v>230</v>
      </c>
    </row>
    <row r="145" spans="1:18">
      <c r="A145" t="s">
        <v>31</v>
      </c>
      <c r="B145" t="s">
        <v>106</v>
      </c>
      <c r="C145" t="s">
        <v>216</v>
      </c>
      <c r="D145" t="s">
        <v>107</v>
      </c>
      <c r="E145" t="s">
        <v>109</v>
      </c>
      <c r="F145" t="s">
        <v>191</v>
      </c>
      <c r="G145" t="s">
        <v>487</v>
      </c>
      <c r="H145" t="s">
        <v>271</v>
      </c>
      <c r="I145">
        <v>175.1</v>
      </c>
      <c r="J145">
        <v>35.02</v>
      </c>
      <c r="K145">
        <f>IF(J145="","",IF(J145&lt;10,'Price Rules'!$B$5,IF(J145&lt;=50,'Price Rules'!$B$6,'Price Rules'!$B$7)))</f>
        <v>4</v>
      </c>
      <c r="L145">
        <f t="shared" si="2"/>
        <v>140</v>
      </c>
      <c r="M145" t="s">
        <v>488</v>
      </c>
      <c r="N145" t="s">
        <v>171</v>
      </c>
      <c r="O145" t="s">
        <v>44</v>
      </c>
      <c r="P145">
        <v>182</v>
      </c>
      <c r="Q145" t="s">
        <v>195</v>
      </c>
      <c r="R145" t="s">
        <v>230</v>
      </c>
    </row>
    <row r="146" spans="1:18">
      <c r="A146" t="s">
        <v>31</v>
      </c>
      <c r="B146" t="s">
        <v>106</v>
      </c>
      <c r="C146" t="s">
        <v>220</v>
      </c>
      <c r="D146" t="s">
        <v>107</v>
      </c>
      <c r="E146" t="s">
        <v>109</v>
      </c>
      <c r="F146" t="s">
        <v>191</v>
      </c>
      <c r="G146" t="s">
        <v>489</v>
      </c>
      <c r="H146" t="s">
        <v>271</v>
      </c>
      <c r="I146">
        <v>222.26</v>
      </c>
      <c r="J146">
        <v>44.45</v>
      </c>
      <c r="K146">
        <f>IF(J146="","",IF(J146&lt;10,'Price Rules'!$B$5,IF(J146&lt;=50,'Price Rules'!$B$6,'Price Rules'!$B$7)))</f>
        <v>4</v>
      </c>
      <c r="L146">
        <f t="shared" si="2"/>
        <v>178</v>
      </c>
      <c r="M146" t="s">
        <v>490</v>
      </c>
      <c r="N146" t="s">
        <v>171</v>
      </c>
      <c r="O146" t="s">
        <v>44</v>
      </c>
      <c r="P146">
        <v>183</v>
      </c>
      <c r="Q146" t="s">
        <v>195</v>
      </c>
      <c r="R146" t="s">
        <v>230</v>
      </c>
    </row>
    <row r="147" spans="1:18">
      <c r="A147" t="s">
        <v>31</v>
      </c>
      <c r="B147" t="s">
        <v>106</v>
      </c>
      <c r="C147" t="s">
        <v>224</v>
      </c>
      <c r="D147" t="s">
        <v>107</v>
      </c>
      <c r="E147" t="s">
        <v>109</v>
      </c>
      <c r="F147" t="s">
        <v>191</v>
      </c>
      <c r="G147" t="s">
        <v>491</v>
      </c>
      <c r="H147" t="s">
        <v>271</v>
      </c>
      <c r="I147">
        <v>258.4</v>
      </c>
      <c r="J147">
        <v>51.68</v>
      </c>
      <c r="K147">
        <f>IF(J147="","",IF(J147&lt;10,'Price Rules'!$B$5,IF(J147&lt;=50,'Price Rules'!$B$6,'Price Rules'!$B$7)))</f>
        <v>3.5</v>
      </c>
      <c r="L147">
        <f t="shared" si="2"/>
        <v>181</v>
      </c>
      <c r="M147" t="s">
        <v>492</v>
      </c>
      <c r="N147" t="s">
        <v>171</v>
      </c>
      <c r="O147" t="s">
        <v>44</v>
      </c>
      <c r="P147">
        <v>184</v>
      </c>
      <c r="Q147" t="s">
        <v>195</v>
      </c>
      <c r="R147" t="s">
        <v>230</v>
      </c>
    </row>
    <row r="148" spans="1:18">
      <c r="A148" t="s">
        <v>31</v>
      </c>
      <c r="B148" t="s">
        <v>110</v>
      </c>
      <c r="C148" t="s">
        <v>204</v>
      </c>
      <c r="D148" t="s">
        <v>111</v>
      </c>
      <c r="E148" t="s">
        <v>113</v>
      </c>
      <c r="F148" t="s">
        <v>191</v>
      </c>
      <c r="G148" t="s">
        <v>493</v>
      </c>
      <c r="H148" t="s">
        <v>271</v>
      </c>
      <c r="I148">
        <v>109.05</v>
      </c>
      <c r="J148">
        <v>21.81</v>
      </c>
      <c r="K148">
        <f>IF(J148="","",IF(J148&lt;10,'Price Rules'!$B$5,IF(J148&lt;=50,'Price Rules'!$B$6,'Price Rules'!$B$7)))</f>
        <v>4</v>
      </c>
      <c r="L148">
        <f t="shared" si="2"/>
        <v>87</v>
      </c>
      <c r="M148" t="s">
        <v>112</v>
      </c>
      <c r="N148" t="s">
        <v>171</v>
      </c>
      <c r="O148" t="s">
        <v>44</v>
      </c>
      <c r="P148">
        <v>187</v>
      </c>
      <c r="Q148" t="s">
        <v>195</v>
      </c>
      <c r="R148" t="s">
        <v>230</v>
      </c>
    </row>
    <row r="149" spans="1:18">
      <c r="A149" t="s">
        <v>31</v>
      </c>
      <c r="B149" t="s">
        <v>110</v>
      </c>
      <c r="C149" t="s">
        <v>208</v>
      </c>
      <c r="D149" t="s">
        <v>111</v>
      </c>
      <c r="E149" t="s">
        <v>113</v>
      </c>
      <c r="F149" t="s">
        <v>191</v>
      </c>
      <c r="G149" t="s">
        <v>494</v>
      </c>
      <c r="H149" t="s">
        <v>271</v>
      </c>
      <c r="I149">
        <v>175.05</v>
      </c>
      <c r="J149">
        <v>35.01</v>
      </c>
      <c r="K149">
        <f>IF(J149="","",IF(J149&lt;10,'Price Rules'!$B$5,IF(J149&lt;=50,'Price Rules'!$B$6,'Price Rules'!$B$7)))</f>
        <v>4</v>
      </c>
      <c r="L149">
        <f t="shared" si="2"/>
        <v>140</v>
      </c>
      <c r="M149" t="s">
        <v>495</v>
      </c>
      <c r="N149" t="s">
        <v>171</v>
      </c>
      <c r="O149" t="s">
        <v>44</v>
      </c>
      <c r="P149">
        <v>188</v>
      </c>
      <c r="Q149" t="s">
        <v>195</v>
      </c>
      <c r="R149" t="s">
        <v>230</v>
      </c>
    </row>
    <row r="150" spans="1:18">
      <c r="A150" t="s">
        <v>31</v>
      </c>
      <c r="B150" t="s">
        <v>110</v>
      </c>
      <c r="C150" t="s">
        <v>216</v>
      </c>
      <c r="D150" t="s">
        <v>111</v>
      </c>
      <c r="E150" t="s">
        <v>113</v>
      </c>
      <c r="F150" t="s">
        <v>191</v>
      </c>
      <c r="G150" t="s">
        <v>496</v>
      </c>
      <c r="H150" t="s">
        <v>271</v>
      </c>
      <c r="I150">
        <v>199.75</v>
      </c>
      <c r="J150">
        <v>39.95</v>
      </c>
      <c r="K150">
        <f>IF(J150="","",IF(J150&lt;10,'Price Rules'!$B$5,IF(J150&lt;=50,'Price Rules'!$B$6,'Price Rules'!$B$7)))</f>
        <v>4</v>
      </c>
      <c r="L150">
        <f t="shared" si="2"/>
        <v>160</v>
      </c>
      <c r="M150" t="s">
        <v>497</v>
      </c>
      <c r="N150" t="s">
        <v>171</v>
      </c>
      <c r="O150" t="s">
        <v>44</v>
      </c>
      <c r="P150">
        <v>189</v>
      </c>
      <c r="Q150" t="s">
        <v>195</v>
      </c>
      <c r="R150" t="s">
        <v>230</v>
      </c>
    </row>
    <row r="151" spans="1:18">
      <c r="A151" t="s">
        <v>31</v>
      </c>
      <c r="B151" t="s">
        <v>110</v>
      </c>
      <c r="C151" t="s">
        <v>220</v>
      </c>
      <c r="D151" t="s">
        <v>111</v>
      </c>
      <c r="E151" t="s">
        <v>113</v>
      </c>
      <c r="F151" t="s">
        <v>191</v>
      </c>
      <c r="G151" t="s">
        <v>498</v>
      </c>
      <c r="H151" t="s">
        <v>271</v>
      </c>
      <c r="I151">
        <v>252.75</v>
      </c>
      <c r="J151">
        <v>50.55</v>
      </c>
      <c r="K151">
        <f>IF(J151="","",IF(J151&lt;10,'Price Rules'!$B$5,IF(J151&lt;=50,'Price Rules'!$B$6,'Price Rules'!$B$7)))</f>
        <v>3.5</v>
      </c>
      <c r="L151">
        <f t="shared" si="2"/>
        <v>177</v>
      </c>
      <c r="M151" t="s">
        <v>499</v>
      </c>
      <c r="N151" t="s">
        <v>171</v>
      </c>
      <c r="O151" t="s">
        <v>44</v>
      </c>
      <c r="P151">
        <v>190</v>
      </c>
      <c r="Q151" t="s">
        <v>195</v>
      </c>
      <c r="R151" t="s">
        <v>230</v>
      </c>
    </row>
    <row r="152" spans="1:18">
      <c r="A152" t="s">
        <v>31</v>
      </c>
      <c r="B152" t="s">
        <v>110</v>
      </c>
      <c r="C152" t="s">
        <v>224</v>
      </c>
      <c r="D152" t="s">
        <v>111</v>
      </c>
      <c r="E152" t="s">
        <v>113</v>
      </c>
      <c r="F152" t="s">
        <v>191</v>
      </c>
      <c r="G152" t="s">
        <v>500</v>
      </c>
      <c r="H152" t="s">
        <v>271</v>
      </c>
      <c r="I152">
        <v>287.75</v>
      </c>
      <c r="J152">
        <v>57.55</v>
      </c>
      <c r="K152">
        <f>IF(J152="","",IF(J152&lt;10,'Price Rules'!$B$5,IF(J152&lt;=50,'Price Rules'!$B$6,'Price Rules'!$B$7)))</f>
        <v>3.5</v>
      </c>
      <c r="L152">
        <f t="shared" si="2"/>
        <v>201</v>
      </c>
      <c r="M152" t="s">
        <v>501</v>
      </c>
      <c r="N152" t="s">
        <v>171</v>
      </c>
      <c r="O152" t="s">
        <v>44</v>
      </c>
      <c r="P152">
        <v>191</v>
      </c>
      <c r="Q152" t="s">
        <v>195</v>
      </c>
      <c r="R152" t="s">
        <v>230</v>
      </c>
    </row>
    <row r="153" spans="1:18">
      <c r="A153" t="s">
        <v>31</v>
      </c>
      <c r="B153" t="s">
        <v>114</v>
      </c>
      <c r="C153" t="s">
        <v>204</v>
      </c>
      <c r="D153" t="s">
        <v>115</v>
      </c>
      <c r="E153" t="s">
        <v>117</v>
      </c>
      <c r="F153" t="s">
        <v>191</v>
      </c>
      <c r="G153" t="s">
        <v>502</v>
      </c>
      <c r="H153" t="s">
        <v>271</v>
      </c>
      <c r="I153">
        <v>109.05</v>
      </c>
      <c r="J153">
        <v>21.81</v>
      </c>
      <c r="K153">
        <f>IF(J153="","",IF(J153&lt;10,'Price Rules'!$B$5,IF(J153&lt;=50,'Price Rules'!$B$6,'Price Rules'!$B$7)))</f>
        <v>4</v>
      </c>
      <c r="L153">
        <f t="shared" si="2"/>
        <v>87</v>
      </c>
      <c r="M153" t="s">
        <v>116</v>
      </c>
      <c r="N153" t="s">
        <v>171</v>
      </c>
      <c r="O153" t="s">
        <v>44</v>
      </c>
      <c r="P153">
        <v>194</v>
      </c>
      <c r="Q153" t="s">
        <v>195</v>
      </c>
      <c r="R153" t="s">
        <v>272</v>
      </c>
    </row>
    <row r="154" spans="1:18">
      <c r="A154" t="s">
        <v>31</v>
      </c>
      <c r="B154" t="s">
        <v>114</v>
      </c>
      <c r="C154" t="s">
        <v>208</v>
      </c>
      <c r="D154" t="s">
        <v>115</v>
      </c>
      <c r="E154" t="s">
        <v>117</v>
      </c>
      <c r="F154" t="s">
        <v>191</v>
      </c>
      <c r="G154" t="s">
        <v>503</v>
      </c>
      <c r="H154" t="s">
        <v>271</v>
      </c>
      <c r="I154">
        <v>162.36</v>
      </c>
      <c r="J154">
        <v>32.47</v>
      </c>
      <c r="K154">
        <f>IF(J154="","",IF(J154&lt;10,'Price Rules'!$B$5,IF(J154&lt;=50,'Price Rules'!$B$6,'Price Rules'!$B$7)))</f>
        <v>4</v>
      </c>
      <c r="L154">
        <f t="shared" si="2"/>
        <v>130</v>
      </c>
      <c r="M154" t="s">
        <v>504</v>
      </c>
      <c r="N154" t="s">
        <v>171</v>
      </c>
      <c r="O154" t="s">
        <v>44</v>
      </c>
      <c r="P154">
        <v>195</v>
      </c>
      <c r="Q154" t="s">
        <v>195</v>
      </c>
      <c r="R154" t="s">
        <v>272</v>
      </c>
    </row>
    <row r="155" spans="1:18">
      <c r="A155" t="s">
        <v>31</v>
      </c>
      <c r="B155" t="s">
        <v>114</v>
      </c>
      <c r="C155" t="s">
        <v>216</v>
      </c>
      <c r="D155" t="s">
        <v>115</v>
      </c>
      <c r="E155" t="s">
        <v>117</v>
      </c>
      <c r="F155" t="s">
        <v>191</v>
      </c>
      <c r="G155" t="s">
        <v>505</v>
      </c>
      <c r="H155" t="s">
        <v>271</v>
      </c>
      <c r="I155">
        <v>209.75</v>
      </c>
      <c r="J155">
        <v>41.95</v>
      </c>
      <c r="K155">
        <f>IF(J155="","",IF(J155&lt;10,'Price Rules'!$B$5,IF(J155&lt;=50,'Price Rules'!$B$6,'Price Rules'!$B$7)))</f>
        <v>4</v>
      </c>
      <c r="L155">
        <f t="shared" si="2"/>
        <v>168</v>
      </c>
      <c r="M155" t="s">
        <v>506</v>
      </c>
      <c r="N155" t="s">
        <v>171</v>
      </c>
      <c r="O155" t="s">
        <v>44</v>
      </c>
      <c r="P155">
        <v>196</v>
      </c>
      <c r="Q155" t="s">
        <v>195</v>
      </c>
      <c r="R155" t="s">
        <v>272</v>
      </c>
    </row>
    <row r="156" spans="1:18">
      <c r="A156" t="s">
        <v>31</v>
      </c>
      <c r="B156" t="s">
        <v>114</v>
      </c>
      <c r="C156" t="s">
        <v>220</v>
      </c>
      <c r="D156" t="s">
        <v>115</v>
      </c>
      <c r="E156" t="s">
        <v>117</v>
      </c>
      <c r="F156" t="s">
        <v>191</v>
      </c>
      <c r="G156" t="s">
        <v>507</v>
      </c>
      <c r="H156" t="s">
        <v>271</v>
      </c>
      <c r="I156">
        <v>266.75</v>
      </c>
      <c r="J156">
        <v>53.35</v>
      </c>
      <c r="K156">
        <f>IF(J156="","",IF(J156&lt;10,'Price Rules'!$B$5,IF(J156&lt;=50,'Price Rules'!$B$6,'Price Rules'!$B$7)))</f>
        <v>3.5</v>
      </c>
      <c r="L156">
        <f t="shared" si="2"/>
        <v>187</v>
      </c>
      <c r="M156" t="s">
        <v>508</v>
      </c>
      <c r="N156" t="s">
        <v>171</v>
      </c>
      <c r="O156" t="s">
        <v>44</v>
      </c>
      <c r="P156">
        <v>197</v>
      </c>
      <c r="Q156" t="s">
        <v>195</v>
      </c>
      <c r="R156" t="s">
        <v>272</v>
      </c>
    </row>
    <row r="157" spans="1:18">
      <c r="A157" t="s">
        <v>31</v>
      </c>
      <c r="B157" t="s">
        <v>114</v>
      </c>
      <c r="C157" t="s">
        <v>224</v>
      </c>
      <c r="D157" t="s">
        <v>115</v>
      </c>
      <c r="E157" t="s">
        <v>117</v>
      </c>
      <c r="F157" t="s">
        <v>191</v>
      </c>
      <c r="G157" t="s">
        <v>509</v>
      </c>
      <c r="H157" t="s">
        <v>271</v>
      </c>
      <c r="I157">
        <v>304.75</v>
      </c>
      <c r="J157">
        <v>60.95</v>
      </c>
      <c r="K157">
        <f>IF(J157="","",IF(J157&lt;10,'Price Rules'!$B$5,IF(J157&lt;=50,'Price Rules'!$B$6,'Price Rules'!$B$7)))</f>
        <v>3.5</v>
      </c>
      <c r="L157">
        <f t="shared" si="2"/>
        <v>213</v>
      </c>
      <c r="M157" t="s">
        <v>510</v>
      </c>
      <c r="N157" t="s">
        <v>171</v>
      </c>
      <c r="O157" t="s">
        <v>44</v>
      </c>
      <c r="P157">
        <v>198</v>
      </c>
      <c r="Q157" t="s">
        <v>195</v>
      </c>
      <c r="R157" t="s">
        <v>272</v>
      </c>
    </row>
    <row r="158" spans="1:18">
      <c r="A158" t="s">
        <v>31</v>
      </c>
      <c r="B158" t="s">
        <v>118</v>
      </c>
      <c r="C158" t="s">
        <v>204</v>
      </c>
      <c r="D158" t="s">
        <v>119</v>
      </c>
      <c r="E158" t="s">
        <v>121</v>
      </c>
      <c r="F158" t="s">
        <v>191</v>
      </c>
      <c r="G158" t="s">
        <v>511</v>
      </c>
      <c r="H158" t="s">
        <v>271</v>
      </c>
      <c r="I158">
        <v>95.48</v>
      </c>
      <c r="J158">
        <v>19.1</v>
      </c>
      <c r="K158">
        <f>IF(J158="","",IF(J158&lt;10,'Price Rules'!$B$5,IF(J158&lt;=50,'Price Rules'!$B$6,'Price Rules'!$B$7)))</f>
        <v>4</v>
      </c>
      <c r="L158">
        <f t="shared" si="2"/>
        <v>76</v>
      </c>
      <c r="M158" t="s">
        <v>120</v>
      </c>
      <c r="N158" t="s">
        <v>171</v>
      </c>
      <c r="O158" t="s">
        <v>44</v>
      </c>
      <c r="P158">
        <v>201</v>
      </c>
      <c r="Q158" t="s">
        <v>195</v>
      </c>
      <c r="R158" t="s">
        <v>230</v>
      </c>
    </row>
    <row r="159" spans="1:18">
      <c r="A159" t="s">
        <v>31</v>
      </c>
      <c r="B159" t="s">
        <v>118</v>
      </c>
      <c r="C159" t="s">
        <v>208</v>
      </c>
      <c r="D159" t="s">
        <v>119</v>
      </c>
      <c r="E159" t="s">
        <v>121</v>
      </c>
      <c r="F159" t="s">
        <v>191</v>
      </c>
      <c r="G159" t="s">
        <v>512</v>
      </c>
      <c r="H159" t="s">
        <v>271</v>
      </c>
      <c r="I159">
        <v>166.05</v>
      </c>
      <c r="J159">
        <v>33.21</v>
      </c>
      <c r="K159">
        <f>IF(J159="","",IF(J159&lt;10,'Price Rules'!$B$5,IF(J159&lt;=50,'Price Rules'!$B$6,'Price Rules'!$B$7)))</f>
        <v>4</v>
      </c>
      <c r="L159">
        <f t="shared" si="2"/>
        <v>133</v>
      </c>
      <c r="M159" t="s">
        <v>513</v>
      </c>
      <c r="N159" t="s">
        <v>171</v>
      </c>
      <c r="O159" t="s">
        <v>44</v>
      </c>
      <c r="P159">
        <v>202</v>
      </c>
      <c r="Q159" t="s">
        <v>195</v>
      </c>
      <c r="R159" t="s">
        <v>230</v>
      </c>
    </row>
    <row r="160" spans="1:18">
      <c r="A160" t="s">
        <v>31</v>
      </c>
      <c r="B160" t="s">
        <v>118</v>
      </c>
      <c r="C160" t="s">
        <v>216</v>
      </c>
      <c r="D160" t="s">
        <v>119</v>
      </c>
      <c r="E160" t="s">
        <v>121</v>
      </c>
      <c r="F160" t="s">
        <v>191</v>
      </c>
      <c r="G160" t="s">
        <v>514</v>
      </c>
      <c r="H160" t="s">
        <v>271</v>
      </c>
      <c r="I160">
        <v>184.1</v>
      </c>
      <c r="J160">
        <v>36.82</v>
      </c>
      <c r="K160">
        <f>IF(J160="","",IF(J160&lt;10,'Price Rules'!$B$5,IF(J160&lt;=50,'Price Rules'!$B$6,'Price Rules'!$B$7)))</f>
        <v>4</v>
      </c>
      <c r="L160">
        <f t="shared" si="2"/>
        <v>147</v>
      </c>
      <c r="M160" t="s">
        <v>515</v>
      </c>
      <c r="N160" t="s">
        <v>171</v>
      </c>
      <c r="O160" t="s">
        <v>44</v>
      </c>
      <c r="P160">
        <v>203</v>
      </c>
      <c r="Q160" t="s">
        <v>195</v>
      </c>
      <c r="R160" t="s">
        <v>230</v>
      </c>
    </row>
    <row r="161" spans="1:18">
      <c r="A161" t="s">
        <v>31</v>
      </c>
      <c r="B161" t="s">
        <v>118</v>
      </c>
      <c r="C161" t="s">
        <v>220</v>
      </c>
      <c r="D161" t="s">
        <v>119</v>
      </c>
      <c r="E161" t="s">
        <v>121</v>
      </c>
      <c r="F161" t="s">
        <v>191</v>
      </c>
      <c r="G161" t="s">
        <v>516</v>
      </c>
      <c r="H161" t="s">
        <v>271</v>
      </c>
      <c r="I161">
        <v>234.26</v>
      </c>
      <c r="J161">
        <v>46.85</v>
      </c>
      <c r="K161">
        <f>IF(J161="","",IF(J161&lt;10,'Price Rules'!$B$5,IF(J161&lt;=50,'Price Rules'!$B$6,'Price Rules'!$B$7)))</f>
        <v>4</v>
      </c>
      <c r="L161">
        <f t="shared" si="2"/>
        <v>187</v>
      </c>
      <c r="M161" t="s">
        <v>517</v>
      </c>
      <c r="N161" t="s">
        <v>171</v>
      </c>
      <c r="O161" t="s">
        <v>44</v>
      </c>
      <c r="P161">
        <v>204</v>
      </c>
      <c r="Q161" t="s">
        <v>195</v>
      </c>
      <c r="R161" t="s">
        <v>230</v>
      </c>
    </row>
    <row r="162" spans="1:18">
      <c r="A162" t="s">
        <v>31</v>
      </c>
      <c r="B162" t="s">
        <v>118</v>
      </c>
      <c r="C162" t="s">
        <v>224</v>
      </c>
      <c r="D162" t="s">
        <v>119</v>
      </c>
      <c r="E162" t="s">
        <v>121</v>
      </c>
      <c r="F162" t="s">
        <v>191</v>
      </c>
      <c r="G162" t="s">
        <v>518</v>
      </c>
      <c r="H162" t="s">
        <v>271</v>
      </c>
      <c r="I162">
        <v>273.4</v>
      </c>
      <c r="J162">
        <v>54.68</v>
      </c>
      <c r="K162">
        <f>IF(J162="","",IF(J162&lt;10,'Price Rules'!$B$5,IF(J162&lt;=50,'Price Rules'!$B$6,'Price Rules'!$B$7)))</f>
        <v>3.5</v>
      </c>
      <c r="L162">
        <f t="shared" si="2"/>
        <v>191</v>
      </c>
      <c r="M162" t="s">
        <v>519</v>
      </c>
      <c r="N162" t="s">
        <v>171</v>
      </c>
      <c r="O162" t="s">
        <v>44</v>
      </c>
      <c r="P162">
        <v>205</v>
      </c>
      <c r="Q162" t="s">
        <v>195</v>
      </c>
      <c r="R162" t="s">
        <v>230</v>
      </c>
    </row>
    <row r="163" spans="1:18">
      <c r="A163" t="s">
        <v>31</v>
      </c>
      <c r="B163" t="s">
        <v>122</v>
      </c>
      <c r="C163" t="s">
        <v>204</v>
      </c>
      <c r="D163" t="s">
        <v>123</v>
      </c>
      <c r="E163" t="s">
        <v>125</v>
      </c>
      <c r="F163" t="s">
        <v>191</v>
      </c>
      <c r="G163" t="s">
        <v>520</v>
      </c>
      <c r="H163" t="s">
        <v>271</v>
      </c>
      <c r="I163">
        <v>109.05</v>
      </c>
      <c r="J163">
        <v>21.81</v>
      </c>
      <c r="K163">
        <f>IF(J163="","",IF(J163&lt;10,'Price Rules'!$B$5,IF(J163&lt;=50,'Price Rules'!$B$6,'Price Rules'!$B$7)))</f>
        <v>4</v>
      </c>
      <c r="L163">
        <f t="shared" si="2"/>
        <v>87</v>
      </c>
      <c r="M163" t="s">
        <v>124</v>
      </c>
      <c r="N163" t="s">
        <v>171</v>
      </c>
      <c r="O163" t="s">
        <v>44</v>
      </c>
      <c r="P163">
        <v>208</v>
      </c>
      <c r="Q163" t="s">
        <v>195</v>
      </c>
      <c r="R163" t="s">
        <v>328</v>
      </c>
    </row>
    <row r="164" spans="1:18">
      <c r="A164" t="s">
        <v>31</v>
      </c>
      <c r="B164" t="s">
        <v>122</v>
      </c>
      <c r="C164" t="s">
        <v>208</v>
      </c>
      <c r="D164" t="s">
        <v>123</v>
      </c>
      <c r="E164" t="s">
        <v>125</v>
      </c>
      <c r="F164" t="s">
        <v>191</v>
      </c>
      <c r="G164" t="s">
        <v>521</v>
      </c>
      <c r="H164" t="s">
        <v>271</v>
      </c>
      <c r="I164">
        <v>155.36</v>
      </c>
      <c r="J164">
        <v>31.07</v>
      </c>
      <c r="K164">
        <f>IF(J164="","",IF(J164&lt;10,'Price Rules'!$B$5,IF(J164&lt;=50,'Price Rules'!$B$6,'Price Rules'!$B$7)))</f>
        <v>4</v>
      </c>
      <c r="L164">
        <f t="shared" si="2"/>
        <v>124</v>
      </c>
      <c r="M164" t="s">
        <v>522</v>
      </c>
      <c r="N164" t="s">
        <v>171</v>
      </c>
      <c r="O164" t="s">
        <v>44</v>
      </c>
      <c r="P164">
        <v>209</v>
      </c>
      <c r="Q164" t="s">
        <v>195</v>
      </c>
      <c r="R164" t="s">
        <v>328</v>
      </c>
    </row>
    <row r="165" spans="1:18">
      <c r="A165" t="s">
        <v>31</v>
      </c>
      <c r="B165" t="s">
        <v>122</v>
      </c>
      <c r="C165" t="s">
        <v>216</v>
      </c>
      <c r="D165" t="s">
        <v>123</v>
      </c>
      <c r="E165" t="s">
        <v>125</v>
      </c>
      <c r="F165" t="s">
        <v>191</v>
      </c>
      <c r="G165" t="s">
        <v>523</v>
      </c>
      <c r="H165" t="s">
        <v>271</v>
      </c>
      <c r="I165">
        <v>199.75</v>
      </c>
      <c r="J165">
        <v>39.95</v>
      </c>
      <c r="K165">
        <f>IF(J165="","",IF(J165&lt;10,'Price Rules'!$B$5,IF(J165&lt;=50,'Price Rules'!$B$6,'Price Rules'!$B$7)))</f>
        <v>4</v>
      </c>
      <c r="L165">
        <f t="shared" si="2"/>
        <v>160</v>
      </c>
      <c r="M165" t="s">
        <v>524</v>
      </c>
      <c r="N165" t="s">
        <v>171</v>
      </c>
      <c r="O165" t="s">
        <v>44</v>
      </c>
      <c r="P165">
        <v>210</v>
      </c>
      <c r="Q165" t="s">
        <v>195</v>
      </c>
      <c r="R165" t="s">
        <v>328</v>
      </c>
    </row>
    <row r="166" spans="1:18">
      <c r="A166" t="s">
        <v>31</v>
      </c>
      <c r="B166" t="s">
        <v>122</v>
      </c>
      <c r="C166" t="s">
        <v>220</v>
      </c>
      <c r="D166" t="s">
        <v>123</v>
      </c>
      <c r="E166" t="s">
        <v>125</v>
      </c>
      <c r="F166" t="s">
        <v>191</v>
      </c>
      <c r="G166" t="s">
        <v>525</v>
      </c>
      <c r="H166" t="s">
        <v>271</v>
      </c>
      <c r="I166">
        <v>252.75</v>
      </c>
      <c r="J166">
        <v>50.55</v>
      </c>
      <c r="K166">
        <f>IF(J166="","",IF(J166&lt;10,'Price Rules'!$B$5,IF(J166&lt;=50,'Price Rules'!$B$6,'Price Rules'!$B$7)))</f>
        <v>3.5</v>
      </c>
      <c r="L166">
        <f t="shared" si="2"/>
        <v>177</v>
      </c>
      <c r="M166" t="s">
        <v>526</v>
      </c>
      <c r="N166" t="s">
        <v>171</v>
      </c>
      <c r="O166" t="s">
        <v>44</v>
      </c>
      <c r="P166">
        <v>211</v>
      </c>
      <c r="Q166" t="s">
        <v>195</v>
      </c>
      <c r="R166" t="s">
        <v>328</v>
      </c>
    </row>
    <row r="167" spans="1:18">
      <c r="A167" t="s">
        <v>31</v>
      </c>
      <c r="B167" t="s">
        <v>122</v>
      </c>
      <c r="C167" t="s">
        <v>224</v>
      </c>
      <c r="D167" t="s">
        <v>123</v>
      </c>
      <c r="E167" t="s">
        <v>125</v>
      </c>
      <c r="F167" t="s">
        <v>191</v>
      </c>
      <c r="G167" t="s">
        <v>527</v>
      </c>
      <c r="H167" t="s">
        <v>271</v>
      </c>
      <c r="I167">
        <v>287.75</v>
      </c>
      <c r="J167">
        <v>57.55</v>
      </c>
      <c r="K167">
        <f>IF(J167="","",IF(J167&lt;10,'Price Rules'!$B$5,IF(J167&lt;=50,'Price Rules'!$B$6,'Price Rules'!$B$7)))</f>
        <v>3.5</v>
      </c>
      <c r="L167">
        <f t="shared" si="2"/>
        <v>201</v>
      </c>
      <c r="M167" t="s">
        <v>528</v>
      </c>
      <c r="N167" t="s">
        <v>171</v>
      </c>
      <c r="O167" t="s">
        <v>44</v>
      </c>
      <c r="P167">
        <v>212</v>
      </c>
      <c r="Q167" t="s">
        <v>195</v>
      </c>
      <c r="R167" t="s">
        <v>328</v>
      </c>
    </row>
    <row r="168" spans="1:18">
      <c r="A168" t="s">
        <v>28</v>
      </c>
      <c r="B168" t="s">
        <v>126</v>
      </c>
      <c r="C168" t="s">
        <v>529</v>
      </c>
      <c r="D168" t="s">
        <v>127</v>
      </c>
      <c r="E168" t="s">
        <v>129</v>
      </c>
      <c r="F168" t="s">
        <v>530</v>
      </c>
      <c r="G168" t="s">
        <v>531</v>
      </c>
      <c r="H168" t="s">
        <v>271</v>
      </c>
      <c r="I168">
        <v>14.3</v>
      </c>
      <c r="J168">
        <v>2.86</v>
      </c>
      <c r="K168">
        <f>IF(J168="","",IF(J168&lt;10,'Price Rules'!$B$5,IF(J168&lt;=50,'Price Rules'!$B$6,'Price Rules'!$B$7)))</f>
        <v>5</v>
      </c>
      <c r="L168">
        <f t="shared" si="2"/>
        <v>14</v>
      </c>
      <c r="M168" t="s">
        <v>532</v>
      </c>
      <c r="N168" t="s">
        <v>171</v>
      </c>
      <c r="O168" t="s">
        <v>44</v>
      </c>
      <c r="P168">
        <v>217</v>
      </c>
      <c r="Q168" t="s">
        <v>172</v>
      </c>
      <c r="R168" t="s">
        <v>403</v>
      </c>
    </row>
    <row r="169" spans="1:18">
      <c r="A169" t="s">
        <v>28</v>
      </c>
      <c r="B169" t="s">
        <v>126</v>
      </c>
      <c r="C169" t="s">
        <v>167</v>
      </c>
      <c r="D169" t="s">
        <v>127</v>
      </c>
      <c r="E169" t="s">
        <v>129</v>
      </c>
      <c r="F169" t="s">
        <v>530</v>
      </c>
      <c r="G169" t="s">
        <v>533</v>
      </c>
      <c r="H169" t="s">
        <v>271</v>
      </c>
      <c r="I169">
        <v>17.9</v>
      </c>
      <c r="J169">
        <v>3.58</v>
      </c>
      <c r="K169">
        <f>IF(J169="","",IF(J169&lt;10,'Price Rules'!$B$5,IF(J169&lt;=50,'Price Rules'!$B$6,'Price Rules'!$B$7)))</f>
        <v>5</v>
      </c>
      <c r="L169">
        <f t="shared" si="2"/>
        <v>18</v>
      </c>
      <c r="M169" t="s">
        <v>534</v>
      </c>
      <c r="N169" t="s">
        <v>171</v>
      </c>
      <c r="O169" t="s">
        <v>44</v>
      </c>
      <c r="P169">
        <v>218</v>
      </c>
      <c r="Q169" t="s">
        <v>172</v>
      </c>
      <c r="R169" t="s">
        <v>403</v>
      </c>
    </row>
    <row r="170" spans="1:18">
      <c r="A170" t="s">
        <v>28</v>
      </c>
      <c r="B170" t="s">
        <v>126</v>
      </c>
      <c r="C170" t="s">
        <v>174</v>
      </c>
      <c r="D170" t="s">
        <v>127</v>
      </c>
      <c r="E170" t="s">
        <v>129</v>
      </c>
      <c r="F170" t="s">
        <v>530</v>
      </c>
      <c r="G170" t="s">
        <v>535</v>
      </c>
      <c r="H170" t="s">
        <v>271</v>
      </c>
      <c r="I170">
        <v>19.81</v>
      </c>
      <c r="J170">
        <v>3.96</v>
      </c>
      <c r="K170">
        <f>IF(J170="","",IF(J170&lt;10,'Price Rules'!$B$5,IF(J170&lt;=50,'Price Rules'!$B$6,'Price Rules'!$B$7)))</f>
        <v>5</v>
      </c>
      <c r="L170">
        <f t="shared" si="2"/>
        <v>20</v>
      </c>
      <c r="M170" t="s">
        <v>536</v>
      </c>
      <c r="N170" t="s">
        <v>171</v>
      </c>
      <c r="O170" t="s">
        <v>44</v>
      </c>
      <c r="P170">
        <v>219</v>
      </c>
      <c r="Q170" t="s">
        <v>172</v>
      </c>
      <c r="R170" t="s">
        <v>403</v>
      </c>
    </row>
    <row r="171" spans="1:18">
      <c r="A171" t="s">
        <v>28</v>
      </c>
      <c r="B171" t="s">
        <v>126</v>
      </c>
      <c r="C171" t="s">
        <v>178</v>
      </c>
      <c r="D171" t="s">
        <v>127</v>
      </c>
      <c r="E171" t="s">
        <v>129</v>
      </c>
      <c r="F171" t="s">
        <v>530</v>
      </c>
      <c r="G171" t="s">
        <v>537</v>
      </c>
      <c r="H171" t="s">
        <v>271</v>
      </c>
      <c r="I171">
        <v>26</v>
      </c>
      <c r="J171">
        <v>5.2</v>
      </c>
      <c r="K171">
        <f>IF(J171="","",IF(J171&lt;10,'Price Rules'!$B$5,IF(J171&lt;=50,'Price Rules'!$B$6,'Price Rules'!$B$7)))</f>
        <v>5</v>
      </c>
      <c r="L171">
        <f t="shared" si="2"/>
        <v>26</v>
      </c>
      <c r="M171" t="s">
        <v>538</v>
      </c>
      <c r="N171" t="s">
        <v>171</v>
      </c>
      <c r="O171" t="s">
        <v>44</v>
      </c>
      <c r="P171">
        <v>220</v>
      </c>
      <c r="Q171" t="s">
        <v>172</v>
      </c>
      <c r="R171" t="s">
        <v>403</v>
      </c>
    </row>
    <row r="172" spans="1:18">
      <c r="A172" t="s">
        <v>28</v>
      </c>
      <c r="B172" t="s">
        <v>126</v>
      </c>
      <c r="C172" t="s">
        <v>539</v>
      </c>
      <c r="D172" t="s">
        <v>127</v>
      </c>
      <c r="E172" t="s">
        <v>129</v>
      </c>
      <c r="F172" t="s">
        <v>530</v>
      </c>
      <c r="G172" t="s">
        <v>540</v>
      </c>
      <c r="H172" t="s">
        <v>271</v>
      </c>
      <c r="I172">
        <v>29.82</v>
      </c>
      <c r="J172">
        <v>5.96</v>
      </c>
      <c r="K172">
        <f>IF(J172="","",IF(J172&lt;10,'Price Rules'!$B$5,IF(J172&lt;=50,'Price Rules'!$B$6,'Price Rules'!$B$7)))</f>
        <v>5</v>
      </c>
      <c r="L172">
        <f t="shared" si="2"/>
        <v>30</v>
      </c>
      <c r="M172" t="s">
        <v>541</v>
      </c>
      <c r="N172" t="s">
        <v>171</v>
      </c>
      <c r="O172" t="s">
        <v>44</v>
      </c>
      <c r="P172">
        <v>221</v>
      </c>
      <c r="Q172" t="s">
        <v>172</v>
      </c>
      <c r="R172" t="s">
        <v>403</v>
      </c>
    </row>
    <row r="173" spans="1:18">
      <c r="A173" t="s">
        <v>28</v>
      </c>
      <c r="B173" t="s">
        <v>126</v>
      </c>
      <c r="C173" t="s">
        <v>542</v>
      </c>
      <c r="D173" t="s">
        <v>127</v>
      </c>
      <c r="E173" t="s">
        <v>129</v>
      </c>
      <c r="F173" t="s">
        <v>530</v>
      </c>
      <c r="G173" t="s">
        <v>543</v>
      </c>
      <c r="H173" t="s">
        <v>271</v>
      </c>
      <c r="I173">
        <v>38.82</v>
      </c>
      <c r="J173">
        <v>7.76</v>
      </c>
      <c r="K173">
        <f>IF(J173="","",IF(J173&lt;10,'Price Rules'!$B$5,IF(J173&lt;=50,'Price Rules'!$B$6,'Price Rules'!$B$7)))</f>
        <v>5</v>
      </c>
      <c r="L173">
        <f t="shared" si="2"/>
        <v>39</v>
      </c>
      <c r="M173" t="s">
        <v>544</v>
      </c>
      <c r="N173" t="s">
        <v>171</v>
      </c>
      <c r="O173" t="s">
        <v>44</v>
      </c>
      <c r="P173">
        <v>222</v>
      </c>
      <c r="Q173" t="s">
        <v>172</v>
      </c>
      <c r="R173" t="s">
        <v>403</v>
      </c>
    </row>
    <row r="174" spans="1:18">
      <c r="A174" t="s">
        <v>28</v>
      </c>
      <c r="B174" t="s">
        <v>130</v>
      </c>
      <c r="C174" t="s">
        <v>529</v>
      </c>
      <c r="D174" t="s">
        <v>131</v>
      </c>
      <c r="E174" t="s">
        <v>133</v>
      </c>
      <c r="F174" t="s">
        <v>530</v>
      </c>
      <c r="G174" t="s">
        <v>545</v>
      </c>
      <c r="H174" t="s">
        <v>271</v>
      </c>
      <c r="I174">
        <v>14.3</v>
      </c>
      <c r="J174">
        <v>2.86</v>
      </c>
      <c r="K174">
        <f>IF(J174="","",IF(J174&lt;10,'Price Rules'!$B$5,IF(J174&lt;=50,'Price Rules'!$B$6,'Price Rules'!$B$7)))</f>
        <v>5</v>
      </c>
      <c r="L174">
        <f t="shared" si="2"/>
        <v>14</v>
      </c>
      <c r="M174" t="s">
        <v>546</v>
      </c>
      <c r="N174" t="s">
        <v>171</v>
      </c>
      <c r="O174" t="s">
        <v>44</v>
      </c>
      <c r="P174">
        <v>225</v>
      </c>
      <c r="Q174" t="s">
        <v>172</v>
      </c>
      <c r="R174" t="s">
        <v>403</v>
      </c>
    </row>
    <row r="175" spans="1:18">
      <c r="A175" t="s">
        <v>28</v>
      </c>
      <c r="B175" t="s">
        <v>130</v>
      </c>
      <c r="C175" t="s">
        <v>167</v>
      </c>
      <c r="D175" t="s">
        <v>131</v>
      </c>
      <c r="E175" t="s">
        <v>133</v>
      </c>
      <c r="F175" t="s">
        <v>530</v>
      </c>
      <c r="G175" t="s">
        <v>547</v>
      </c>
      <c r="H175" t="s">
        <v>271</v>
      </c>
      <c r="I175">
        <v>17.9</v>
      </c>
      <c r="J175">
        <v>3.58</v>
      </c>
      <c r="K175">
        <f>IF(J175="","",IF(J175&lt;10,'Price Rules'!$B$5,IF(J175&lt;=50,'Price Rules'!$B$6,'Price Rules'!$B$7)))</f>
        <v>5</v>
      </c>
      <c r="L175">
        <f t="shared" si="2"/>
        <v>18</v>
      </c>
      <c r="M175" t="s">
        <v>548</v>
      </c>
      <c r="N175" t="s">
        <v>171</v>
      </c>
      <c r="O175" t="s">
        <v>44</v>
      </c>
      <c r="P175">
        <v>226</v>
      </c>
      <c r="Q175" t="s">
        <v>172</v>
      </c>
      <c r="R175" t="s">
        <v>403</v>
      </c>
    </row>
    <row r="176" spans="1:18">
      <c r="A176" t="s">
        <v>28</v>
      </c>
      <c r="B176" t="s">
        <v>130</v>
      </c>
      <c r="C176" t="s">
        <v>174</v>
      </c>
      <c r="D176" t="s">
        <v>131</v>
      </c>
      <c r="E176" t="s">
        <v>133</v>
      </c>
      <c r="F176" t="s">
        <v>530</v>
      </c>
      <c r="G176" t="s">
        <v>549</v>
      </c>
      <c r="H176" t="s">
        <v>271</v>
      </c>
      <c r="I176">
        <v>19.81</v>
      </c>
      <c r="J176">
        <v>3.96</v>
      </c>
      <c r="K176">
        <f>IF(J176="","",IF(J176&lt;10,'Price Rules'!$B$5,IF(J176&lt;=50,'Price Rules'!$B$6,'Price Rules'!$B$7)))</f>
        <v>5</v>
      </c>
      <c r="L176">
        <f t="shared" si="2"/>
        <v>20</v>
      </c>
      <c r="M176" t="s">
        <v>550</v>
      </c>
      <c r="N176" t="s">
        <v>171</v>
      </c>
      <c r="O176" t="s">
        <v>44</v>
      </c>
      <c r="P176">
        <v>227</v>
      </c>
      <c r="Q176" t="s">
        <v>172</v>
      </c>
      <c r="R176" t="s">
        <v>403</v>
      </c>
    </row>
    <row r="177" spans="1:18">
      <c r="A177" t="s">
        <v>28</v>
      </c>
      <c r="B177" t="s">
        <v>130</v>
      </c>
      <c r="C177" t="s">
        <v>178</v>
      </c>
      <c r="D177" t="s">
        <v>131</v>
      </c>
      <c r="E177" t="s">
        <v>133</v>
      </c>
      <c r="F177" t="s">
        <v>530</v>
      </c>
      <c r="G177" t="s">
        <v>551</v>
      </c>
      <c r="H177" t="s">
        <v>271</v>
      </c>
      <c r="I177">
        <v>26</v>
      </c>
      <c r="J177">
        <v>5.2</v>
      </c>
      <c r="K177">
        <f>IF(J177="","",IF(J177&lt;10,'Price Rules'!$B$5,IF(J177&lt;=50,'Price Rules'!$B$6,'Price Rules'!$B$7)))</f>
        <v>5</v>
      </c>
      <c r="L177">
        <f t="shared" si="2"/>
        <v>26</v>
      </c>
      <c r="M177" t="s">
        <v>552</v>
      </c>
      <c r="N177" t="s">
        <v>171</v>
      </c>
      <c r="O177" t="s">
        <v>44</v>
      </c>
      <c r="P177">
        <v>228</v>
      </c>
      <c r="Q177" t="s">
        <v>172</v>
      </c>
      <c r="R177" t="s">
        <v>403</v>
      </c>
    </row>
    <row r="178" spans="1:18">
      <c r="A178" t="s">
        <v>28</v>
      </c>
      <c r="B178" t="s">
        <v>130</v>
      </c>
      <c r="C178" t="s">
        <v>539</v>
      </c>
      <c r="D178" t="s">
        <v>131</v>
      </c>
      <c r="E178" t="s">
        <v>133</v>
      </c>
      <c r="F178" t="s">
        <v>530</v>
      </c>
      <c r="G178" t="s">
        <v>553</v>
      </c>
      <c r="H178" t="s">
        <v>271</v>
      </c>
      <c r="I178">
        <v>29.82</v>
      </c>
      <c r="J178">
        <v>5.96</v>
      </c>
      <c r="K178">
        <f>IF(J178="","",IF(J178&lt;10,'Price Rules'!$B$5,IF(J178&lt;=50,'Price Rules'!$B$6,'Price Rules'!$B$7)))</f>
        <v>5</v>
      </c>
      <c r="L178">
        <f t="shared" si="2"/>
        <v>30</v>
      </c>
      <c r="M178" t="s">
        <v>554</v>
      </c>
      <c r="N178" t="s">
        <v>171</v>
      </c>
      <c r="O178" t="s">
        <v>44</v>
      </c>
      <c r="P178">
        <v>229</v>
      </c>
      <c r="Q178" t="s">
        <v>172</v>
      </c>
      <c r="R178" t="s">
        <v>403</v>
      </c>
    </row>
    <row r="179" spans="1:18">
      <c r="A179" t="s">
        <v>28</v>
      </c>
      <c r="B179" t="s">
        <v>130</v>
      </c>
      <c r="C179" t="s">
        <v>542</v>
      </c>
      <c r="D179" t="s">
        <v>131</v>
      </c>
      <c r="E179" t="s">
        <v>133</v>
      </c>
      <c r="F179" t="s">
        <v>530</v>
      </c>
      <c r="G179" t="s">
        <v>555</v>
      </c>
      <c r="H179" t="s">
        <v>271</v>
      </c>
      <c r="I179">
        <v>38.82</v>
      </c>
      <c r="J179">
        <v>7.76</v>
      </c>
      <c r="K179">
        <f>IF(J179="","",IF(J179&lt;10,'Price Rules'!$B$5,IF(J179&lt;=50,'Price Rules'!$B$6,'Price Rules'!$B$7)))</f>
        <v>5</v>
      </c>
      <c r="L179">
        <f t="shared" si="2"/>
        <v>39</v>
      </c>
      <c r="M179" t="s">
        <v>556</v>
      </c>
      <c r="N179" t="s">
        <v>171</v>
      </c>
      <c r="O179" t="s">
        <v>44</v>
      </c>
      <c r="P179">
        <v>230</v>
      </c>
      <c r="Q179" t="s">
        <v>172</v>
      </c>
      <c r="R179" t="s">
        <v>403</v>
      </c>
    </row>
    <row r="180" spans="1:18">
      <c r="A180" t="s">
        <v>28</v>
      </c>
      <c r="B180" t="s">
        <v>134</v>
      </c>
      <c r="C180" t="s">
        <v>529</v>
      </c>
      <c r="D180" t="s">
        <v>135</v>
      </c>
      <c r="E180" t="s">
        <v>137</v>
      </c>
      <c r="F180" t="s">
        <v>530</v>
      </c>
      <c r="G180" t="s">
        <v>557</v>
      </c>
      <c r="H180" t="s">
        <v>271</v>
      </c>
      <c r="I180">
        <v>13.4</v>
      </c>
      <c r="J180">
        <v>2.68</v>
      </c>
      <c r="K180">
        <f>IF(J180="","",IF(J180&lt;10,'Price Rules'!$B$5,IF(J180&lt;=50,'Price Rules'!$B$6,'Price Rules'!$B$7)))</f>
        <v>5</v>
      </c>
      <c r="L180">
        <f t="shared" si="2"/>
        <v>13</v>
      </c>
      <c r="M180" t="s">
        <v>558</v>
      </c>
      <c r="N180" t="s">
        <v>171</v>
      </c>
      <c r="O180" t="s">
        <v>44</v>
      </c>
      <c r="P180">
        <v>233</v>
      </c>
      <c r="Q180" t="s">
        <v>172</v>
      </c>
      <c r="R180" t="s">
        <v>403</v>
      </c>
    </row>
    <row r="181" spans="1:18">
      <c r="A181" t="s">
        <v>28</v>
      </c>
      <c r="B181" t="s">
        <v>134</v>
      </c>
      <c r="C181" t="s">
        <v>167</v>
      </c>
      <c r="D181" t="s">
        <v>135</v>
      </c>
      <c r="E181" t="s">
        <v>137</v>
      </c>
      <c r="F181" t="s">
        <v>530</v>
      </c>
      <c r="G181" t="s">
        <v>559</v>
      </c>
      <c r="H181" t="s">
        <v>271</v>
      </c>
      <c r="I181">
        <v>14.3</v>
      </c>
      <c r="J181">
        <v>2.86</v>
      </c>
      <c r="K181">
        <f>IF(J181="","",IF(J181&lt;10,'Price Rules'!$B$5,IF(J181&lt;=50,'Price Rules'!$B$6,'Price Rules'!$B$7)))</f>
        <v>5</v>
      </c>
      <c r="L181">
        <f t="shared" si="2"/>
        <v>14</v>
      </c>
      <c r="M181" t="s">
        <v>560</v>
      </c>
      <c r="N181" t="s">
        <v>171</v>
      </c>
      <c r="O181" t="s">
        <v>44</v>
      </c>
      <c r="P181">
        <v>234</v>
      </c>
      <c r="Q181" t="s">
        <v>172</v>
      </c>
      <c r="R181" t="s">
        <v>403</v>
      </c>
    </row>
    <row r="182" spans="1:18">
      <c r="A182" t="s">
        <v>28</v>
      </c>
      <c r="B182" t="s">
        <v>134</v>
      </c>
      <c r="C182" t="s">
        <v>174</v>
      </c>
      <c r="D182" t="s">
        <v>135</v>
      </c>
      <c r="E182" t="s">
        <v>137</v>
      </c>
      <c r="F182" t="s">
        <v>530</v>
      </c>
      <c r="G182" t="s">
        <v>561</v>
      </c>
      <c r="H182" t="s">
        <v>271</v>
      </c>
      <c r="I182">
        <v>17.9</v>
      </c>
      <c r="J182">
        <v>3.58</v>
      </c>
      <c r="K182">
        <f>IF(J182="","",IF(J182&lt;10,'Price Rules'!$B$5,IF(J182&lt;=50,'Price Rules'!$B$6,'Price Rules'!$B$7)))</f>
        <v>5</v>
      </c>
      <c r="L182">
        <f t="shared" si="2"/>
        <v>18</v>
      </c>
      <c r="M182" t="s">
        <v>562</v>
      </c>
      <c r="N182" t="s">
        <v>171</v>
      </c>
      <c r="O182" t="s">
        <v>44</v>
      </c>
      <c r="P182">
        <v>235</v>
      </c>
      <c r="Q182" t="s">
        <v>172</v>
      </c>
      <c r="R182" t="s">
        <v>403</v>
      </c>
    </row>
    <row r="183" spans="1:18">
      <c r="A183" t="s">
        <v>28</v>
      </c>
      <c r="B183" t="s">
        <v>134</v>
      </c>
      <c r="C183" t="s">
        <v>178</v>
      </c>
      <c r="D183" t="s">
        <v>135</v>
      </c>
      <c r="E183" t="s">
        <v>137</v>
      </c>
      <c r="F183" t="s">
        <v>530</v>
      </c>
      <c r="G183" t="s">
        <v>563</v>
      </c>
      <c r="H183" t="s">
        <v>271</v>
      </c>
      <c r="I183">
        <v>26</v>
      </c>
      <c r="J183">
        <v>5.2</v>
      </c>
      <c r="K183">
        <f>IF(J183="","",IF(J183&lt;10,'Price Rules'!$B$5,IF(J183&lt;=50,'Price Rules'!$B$6,'Price Rules'!$B$7)))</f>
        <v>5</v>
      </c>
      <c r="L183">
        <f t="shared" si="2"/>
        <v>26</v>
      </c>
      <c r="M183" t="s">
        <v>564</v>
      </c>
      <c r="N183" t="s">
        <v>171</v>
      </c>
      <c r="O183" t="s">
        <v>44</v>
      </c>
      <c r="P183">
        <v>236</v>
      </c>
      <c r="Q183" t="s">
        <v>172</v>
      </c>
      <c r="R183" t="s">
        <v>403</v>
      </c>
    </row>
    <row r="184" spans="1:18">
      <c r="A184" t="s">
        <v>28</v>
      </c>
      <c r="B184" t="s">
        <v>134</v>
      </c>
      <c r="C184" t="s">
        <v>539</v>
      </c>
      <c r="D184" t="s">
        <v>135</v>
      </c>
      <c r="E184" t="s">
        <v>137</v>
      </c>
      <c r="F184" t="s">
        <v>530</v>
      </c>
      <c r="G184" t="s">
        <v>565</v>
      </c>
      <c r="H184" t="s">
        <v>271</v>
      </c>
      <c r="I184">
        <v>29.82</v>
      </c>
      <c r="J184">
        <v>5.96</v>
      </c>
      <c r="K184">
        <f>IF(J184="","",IF(J184&lt;10,'Price Rules'!$B$5,IF(J184&lt;=50,'Price Rules'!$B$6,'Price Rules'!$B$7)))</f>
        <v>5</v>
      </c>
      <c r="L184">
        <f t="shared" si="2"/>
        <v>30</v>
      </c>
      <c r="M184" t="s">
        <v>566</v>
      </c>
      <c r="N184" t="s">
        <v>171</v>
      </c>
      <c r="O184" t="s">
        <v>44</v>
      </c>
      <c r="P184">
        <v>237</v>
      </c>
      <c r="Q184" t="s">
        <v>172</v>
      </c>
      <c r="R184" t="s">
        <v>403</v>
      </c>
    </row>
    <row r="185" spans="1:18">
      <c r="A185" t="s">
        <v>28</v>
      </c>
      <c r="B185" t="s">
        <v>134</v>
      </c>
      <c r="C185" t="s">
        <v>542</v>
      </c>
      <c r="D185" t="s">
        <v>135</v>
      </c>
      <c r="E185" t="s">
        <v>137</v>
      </c>
      <c r="F185" t="s">
        <v>530</v>
      </c>
      <c r="G185" t="s">
        <v>567</v>
      </c>
      <c r="H185" t="s">
        <v>271</v>
      </c>
      <c r="I185">
        <v>38.82</v>
      </c>
      <c r="J185">
        <v>7.76</v>
      </c>
      <c r="K185">
        <f>IF(J185="","",IF(J185&lt;10,'Price Rules'!$B$5,IF(J185&lt;=50,'Price Rules'!$B$6,'Price Rules'!$B$7)))</f>
        <v>5</v>
      </c>
      <c r="L185">
        <f t="shared" si="2"/>
        <v>39</v>
      </c>
      <c r="M185" t="s">
        <v>568</v>
      </c>
      <c r="N185" t="s">
        <v>171</v>
      </c>
      <c r="O185" t="s">
        <v>44</v>
      </c>
      <c r="P185">
        <v>238</v>
      </c>
      <c r="Q185" t="s">
        <v>172</v>
      </c>
      <c r="R185" t="s">
        <v>403</v>
      </c>
    </row>
    <row r="186" spans="1:18">
      <c r="A186" t="s">
        <v>28</v>
      </c>
      <c r="B186" t="s">
        <v>138</v>
      </c>
      <c r="C186" t="s">
        <v>529</v>
      </c>
      <c r="D186" t="s">
        <v>139</v>
      </c>
      <c r="E186" t="s">
        <v>141</v>
      </c>
      <c r="F186" t="s">
        <v>530</v>
      </c>
      <c r="G186" t="s">
        <v>569</v>
      </c>
      <c r="H186" t="s">
        <v>271</v>
      </c>
      <c r="I186">
        <v>13.4</v>
      </c>
      <c r="J186">
        <v>2.68</v>
      </c>
      <c r="K186">
        <f>IF(J186="","",IF(J186&lt;10,'Price Rules'!$B$5,IF(J186&lt;=50,'Price Rules'!$B$6,'Price Rules'!$B$7)))</f>
        <v>5</v>
      </c>
      <c r="L186">
        <f t="shared" si="2"/>
        <v>13</v>
      </c>
      <c r="M186" t="s">
        <v>570</v>
      </c>
      <c r="N186" t="s">
        <v>171</v>
      </c>
      <c r="O186" t="s">
        <v>44</v>
      </c>
      <c r="P186">
        <v>241</v>
      </c>
      <c r="Q186" t="s">
        <v>172</v>
      </c>
      <c r="R186" t="s">
        <v>403</v>
      </c>
    </row>
    <row r="187" spans="1:18">
      <c r="A187" t="s">
        <v>28</v>
      </c>
      <c r="B187" t="s">
        <v>138</v>
      </c>
      <c r="C187" t="s">
        <v>167</v>
      </c>
      <c r="D187" t="s">
        <v>139</v>
      </c>
      <c r="E187" t="s">
        <v>141</v>
      </c>
      <c r="F187" t="s">
        <v>530</v>
      </c>
      <c r="G187" t="s">
        <v>571</v>
      </c>
      <c r="H187" t="s">
        <v>271</v>
      </c>
      <c r="I187">
        <v>14.3</v>
      </c>
      <c r="J187">
        <v>2.86</v>
      </c>
      <c r="K187">
        <f>IF(J187="","",IF(J187&lt;10,'Price Rules'!$B$5,IF(J187&lt;=50,'Price Rules'!$B$6,'Price Rules'!$B$7)))</f>
        <v>5</v>
      </c>
      <c r="L187">
        <f t="shared" si="2"/>
        <v>14</v>
      </c>
      <c r="M187" t="s">
        <v>572</v>
      </c>
      <c r="N187" t="s">
        <v>171</v>
      </c>
      <c r="O187" t="s">
        <v>44</v>
      </c>
      <c r="P187">
        <v>242</v>
      </c>
      <c r="Q187" t="s">
        <v>172</v>
      </c>
      <c r="R187" t="s">
        <v>403</v>
      </c>
    </row>
    <row r="188" spans="1:18">
      <c r="A188" t="s">
        <v>28</v>
      </c>
      <c r="B188" t="s">
        <v>138</v>
      </c>
      <c r="C188" t="s">
        <v>174</v>
      </c>
      <c r="D188" t="s">
        <v>139</v>
      </c>
      <c r="E188" t="s">
        <v>141</v>
      </c>
      <c r="F188" t="s">
        <v>530</v>
      </c>
      <c r="G188" t="s">
        <v>573</v>
      </c>
      <c r="H188" t="s">
        <v>271</v>
      </c>
      <c r="I188">
        <v>17.9</v>
      </c>
      <c r="J188">
        <v>3.58</v>
      </c>
      <c r="K188">
        <f>IF(J188="","",IF(J188&lt;10,'Price Rules'!$B$5,IF(J188&lt;=50,'Price Rules'!$B$6,'Price Rules'!$B$7)))</f>
        <v>5</v>
      </c>
      <c r="L188">
        <f t="shared" si="2"/>
        <v>18</v>
      </c>
      <c r="M188" t="s">
        <v>574</v>
      </c>
      <c r="N188" t="s">
        <v>171</v>
      </c>
      <c r="O188" t="s">
        <v>44</v>
      </c>
      <c r="P188">
        <v>243</v>
      </c>
      <c r="Q188" t="s">
        <v>172</v>
      </c>
      <c r="R188" t="s">
        <v>403</v>
      </c>
    </row>
    <row r="189" spans="1:18">
      <c r="A189" t="s">
        <v>28</v>
      </c>
      <c r="B189" t="s">
        <v>138</v>
      </c>
      <c r="C189" t="s">
        <v>178</v>
      </c>
      <c r="D189" t="s">
        <v>139</v>
      </c>
      <c r="E189" t="s">
        <v>141</v>
      </c>
      <c r="F189" t="s">
        <v>530</v>
      </c>
      <c r="G189" t="s">
        <v>575</v>
      </c>
      <c r="H189" t="s">
        <v>271</v>
      </c>
      <c r="I189">
        <v>26</v>
      </c>
      <c r="J189">
        <v>5.2</v>
      </c>
      <c r="K189">
        <f>IF(J189="","",IF(J189&lt;10,'Price Rules'!$B$5,IF(J189&lt;=50,'Price Rules'!$B$6,'Price Rules'!$B$7)))</f>
        <v>5</v>
      </c>
      <c r="L189">
        <f t="shared" si="2"/>
        <v>26</v>
      </c>
      <c r="M189" t="s">
        <v>576</v>
      </c>
      <c r="N189" t="s">
        <v>171</v>
      </c>
      <c r="O189" t="s">
        <v>44</v>
      </c>
      <c r="P189">
        <v>244</v>
      </c>
      <c r="Q189" t="s">
        <v>172</v>
      </c>
      <c r="R189" t="s">
        <v>403</v>
      </c>
    </row>
    <row r="190" spans="1:18">
      <c r="A190" t="s">
        <v>28</v>
      </c>
      <c r="B190" t="s">
        <v>138</v>
      </c>
      <c r="C190" t="s">
        <v>539</v>
      </c>
      <c r="D190" t="s">
        <v>139</v>
      </c>
      <c r="E190" t="s">
        <v>141</v>
      </c>
      <c r="F190" t="s">
        <v>530</v>
      </c>
      <c r="G190" t="s">
        <v>577</v>
      </c>
      <c r="H190" t="s">
        <v>271</v>
      </c>
      <c r="I190">
        <v>29.82</v>
      </c>
      <c r="J190">
        <v>5.96</v>
      </c>
      <c r="K190">
        <f>IF(J190="","",IF(J190&lt;10,'Price Rules'!$B$5,IF(J190&lt;=50,'Price Rules'!$B$6,'Price Rules'!$B$7)))</f>
        <v>5</v>
      </c>
      <c r="L190">
        <f t="shared" si="2"/>
        <v>30</v>
      </c>
      <c r="M190" t="s">
        <v>578</v>
      </c>
      <c r="N190" t="s">
        <v>171</v>
      </c>
      <c r="O190" t="s">
        <v>44</v>
      </c>
      <c r="P190">
        <v>245</v>
      </c>
      <c r="Q190" t="s">
        <v>172</v>
      </c>
      <c r="R190" t="s">
        <v>403</v>
      </c>
    </row>
    <row r="191" spans="1:18">
      <c r="A191" t="s">
        <v>28</v>
      </c>
      <c r="B191" t="s">
        <v>138</v>
      </c>
      <c r="C191" t="s">
        <v>542</v>
      </c>
      <c r="D191" t="s">
        <v>139</v>
      </c>
      <c r="E191" t="s">
        <v>141</v>
      </c>
      <c r="F191" t="s">
        <v>530</v>
      </c>
      <c r="G191" t="s">
        <v>579</v>
      </c>
      <c r="H191" t="s">
        <v>271</v>
      </c>
      <c r="I191">
        <v>38.82</v>
      </c>
      <c r="J191">
        <v>7.76</v>
      </c>
      <c r="K191">
        <f>IF(J191="","",IF(J191&lt;10,'Price Rules'!$B$5,IF(J191&lt;=50,'Price Rules'!$B$6,'Price Rules'!$B$7)))</f>
        <v>5</v>
      </c>
      <c r="L191">
        <f t="shared" si="2"/>
        <v>39</v>
      </c>
      <c r="M191" t="s">
        <v>580</v>
      </c>
      <c r="N191" t="s">
        <v>171</v>
      </c>
      <c r="O191" t="s">
        <v>44</v>
      </c>
      <c r="P191">
        <v>246</v>
      </c>
      <c r="Q191" t="s">
        <v>172</v>
      </c>
      <c r="R191" t="s">
        <v>403</v>
      </c>
    </row>
    <row r="192" spans="1:18">
      <c r="A192" t="s">
        <v>28</v>
      </c>
      <c r="B192" t="s">
        <v>142</v>
      </c>
      <c r="C192" t="s">
        <v>529</v>
      </c>
      <c r="D192" t="s">
        <v>143</v>
      </c>
      <c r="E192" t="s">
        <v>145</v>
      </c>
      <c r="F192" t="s">
        <v>530</v>
      </c>
      <c r="G192" t="s">
        <v>581</v>
      </c>
      <c r="H192" t="s">
        <v>271</v>
      </c>
      <c r="I192">
        <v>13.4</v>
      </c>
      <c r="J192">
        <v>2.68</v>
      </c>
      <c r="K192">
        <f>IF(J192="","",IF(J192&lt;10,'Price Rules'!$B$5,IF(J192&lt;=50,'Price Rules'!$B$6,'Price Rules'!$B$7)))</f>
        <v>5</v>
      </c>
      <c r="L192">
        <f t="shared" si="2"/>
        <v>13</v>
      </c>
      <c r="M192" t="s">
        <v>582</v>
      </c>
      <c r="N192" t="s">
        <v>171</v>
      </c>
      <c r="O192" t="s">
        <v>44</v>
      </c>
      <c r="P192">
        <v>249</v>
      </c>
      <c r="Q192" t="s">
        <v>172</v>
      </c>
      <c r="R192" t="s">
        <v>328</v>
      </c>
    </row>
    <row r="193" spans="1:18">
      <c r="A193" t="s">
        <v>28</v>
      </c>
      <c r="B193" t="s">
        <v>142</v>
      </c>
      <c r="C193" t="s">
        <v>167</v>
      </c>
      <c r="D193" t="s">
        <v>143</v>
      </c>
      <c r="E193" t="s">
        <v>145</v>
      </c>
      <c r="F193" t="s">
        <v>530</v>
      </c>
      <c r="G193" t="s">
        <v>583</v>
      </c>
      <c r="H193" t="s">
        <v>271</v>
      </c>
      <c r="I193">
        <v>14.3</v>
      </c>
      <c r="J193">
        <v>2.86</v>
      </c>
      <c r="K193">
        <f>IF(J193="","",IF(J193&lt;10,'Price Rules'!$B$5,IF(J193&lt;=50,'Price Rules'!$B$6,'Price Rules'!$B$7)))</f>
        <v>5</v>
      </c>
      <c r="L193">
        <f t="shared" si="2"/>
        <v>14</v>
      </c>
      <c r="M193" t="s">
        <v>584</v>
      </c>
      <c r="N193" t="s">
        <v>171</v>
      </c>
      <c r="O193" t="s">
        <v>44</v>
      </c>
      <c r="P193">
        <v>250</v>
      </c>
      <c r="Q193" t="s">
        <v>172</v>
      </c>
      <c r="R193" t="s">
        <v>328</v>
      </c>
    </row>
    <row r="194" spans="1:18">
      <c r="A194" t="s">
        <v>28</v>
      </c>
      <c r="B194" t="s">
        <v>142</v>
      </c>
      <c r="C194" t="s">
        <v>174</v>
      </c>
      <c r="D194" t="s">
        <v>143</v>
      </c>
      <c r="E194" t="s">
        <v>145</v>
      </c>
      <c r="F194" t="s">
        <v>530</v>
      </c>
      <c r="G194" t="s">
        <v>585</v>
      </c>
      <c r="H194" t="s">
        <v>271</v>
      </c>
      <c r="I194">
        <v>17.9</v>
      </c>
      <c r="J194">
        <v>3.58</v>
      </c>
      <c r="K194">
        <f>IF(J194="","",IF(J194&lt;10,'Price Rules'!$B$5,IF(J194&lt;=50,'Price Rules'!$B$6,'Price Rules'!$B$7)))</f>
        <v>5</v>
      </c>
      <c r="L194">
        <f t="shared" si="2"/>
        <v>18</v>
      </c>
      <c r="M194" t="s">
        <v>586</v>
      </c>
      <c r="N194" t="s">
        <v>171</v>
      </c>
      <c r="O194" t="s">
        <v>44</v>
      </c>
      <c r="P194">
        <v>251</v>
      </c>
      <c r="Q194" t="s">
        <v>172</v>
      </c>
      <c r="R194" t="s">
        <v>328</v>
      </c>
    </row>
    <row r="195" spans="1:18">
      <c r="A195" t="s">
        <v>28</v>
      </c>
      <c r="B195" t="s">
        <v>142</v>
      </c>
      <c r="C195" t="s">
        <v>178</v>
      </c>
      <c r="D195" t="s">
        <v>143</v>
      </c>
      <c r="E195" t="s">
        <v>145</v>
      </c>
      <c r="F195" t="s">
        <v>530</v>
      </c>
      <c r="G195" t="s">
        <v>587</v>
      </c>
      <c r="H195" t="s">
        <v>271</v>
      </c>
      <c r="I195">
        <v>26</v>
      </c>
      <c r="J195">
        <v>5.2</v>
      </c>
      <c r="K195">
        <f>IF(J195="","",IF(J195&lt;10,'Price Rules'!$B$5,IF(J195&lt;=50,'Price Rules'!$B$6,'Price Rules'!$B$7)))</f>
        <v>5</v>
      </c>
      <c r="L195">
        <f t="shared" si="2"/>
        <v>26</v>
      </c>
      <c r="M195" t="s">
        <v>588</v>
      </c>
      <c r="N195" t="s">
        <v>171</v>
      </c>
      <c r="O195" t="s">
        <v>44</v>
      </c>
      <c r="P195">
        <v>252</v>
      </c>
      <c r="Q195" t="s">
        <v>172</v>
      </c>
      <c r="R195" t="s">
        <v>328</v>
      </c>
    </row>
    <row r="196" spans="1:18">
      <c r="A196" t="s">
        <v>28</v>
      </c>
      <c r="B196" t="s">
        <v>142</v>
      </c>
      <c r="C196" t="s">
        <v>539</v>
      </c>
      <c r="D196" t="s">
        <v>143</v>
      </c>
      <c r="E196" t="s">
        <v>145</v>
      </c>
      <c r="F196" t="s">
        <v>530</v>
      </c>
      <c r="G196" t="s">
        <v>589</v>
      </c>
      <c r="H196" t="s">
        <v>271</v>
      </c>
      <c r="I196">
        <v>29.82</v>
      </c>
      <c r="J196">
        <v>5.96</v>
      </c>
      <c r="K196">
        <f>IF(J196="","",IF(J196&lt;10,'Price Rules'!$B$5,IF(J196&lt;=50,'Price Rules'!$B$6,'Price Rules'!$B$7)))</f>
        <v>5</v>
      </c>
      <c r="L196">
        <f t="shared" si="2"/>
        <v>30</v>
      </c>
      <c r="M196" t="s">
        <v>590</v>
      </c>
      <c r="N196" t="s">
        <v>171</v>
      </c>
      <c r="O196" t="s">
        <v>44</v>
      </c>
      <c r="P196">
        <v>253</v>
      </c>
      <c r="Q196" t="s">
        <v>172</v>
      </c>
      <c r="R196" t="s">
        <v>328</v>
      </c>
    </row>
    <row r="197" spans="1:18">
      <c r="A197" t="s">
        <v>28</v>
      </c>
      <c r="B197" t="s">
        <v>142</v>
      </c>
      <c r="C197" t="s">
        <v>542</v>
      </c>
      <c r="D197" t="s">
        <v>143</v>
      </c>
      <c r="E197" t="s">
        <v>145</v>
      </c>
      <c r="F197" t="s">
        <v>530</v>
      </c>
      <c r="G197" t="s">
        <v>591</v>
      </c>
      <c r="H197" t="s">
        <v>271</v>
      </c>
      <c r="I197">
        <v>38.82</v>
      </c>
      <c r="J197">
        <v>7.76</v>
      </c>
      <c r="K197">
        <f>IF(J197="","",IF(J197&lt;10,'Price Rules'!$B$5,IF(J197&lt;=50,'Price Rules'!$B$6,'Price Rules'!$B$7)))</f>
        <v>5</v>
      </c>
      <c r="L197">
        <f>IF(J197="","",ROUND(J197*K197,0))</f>
        <v>39</v>
      </c>
      <c r="M197" t="s">
        <v>592</v>
      </c>
      <c r="N197" t="s">
        <v>171</v>
      </c>
      <c r="O197" t="s">
        <v>44</v>
      </c>
      <c r="P197">
        <v>254</v>
      </c>
      <c r="Q197" t="s">
        <v>172</v>
      </c>
      <c r="R197" t="s">
        <v>328</v>
      </c>
    </row>
  </sheetData>
  <mergeCells count="2">
    <mergeCell ref="A1:P1"/>
    <mergeCell ref="A2:P2"/>
  </mergeCells>
  <pageMargins left="0.7" right="0.7" top="0.75" bottom="0.75" header="0.3" footer="0.3"/>
  <headerFooter/>
  <ignoredErrors>
    <ignoredError sqref="E86:Q98 A86:C98 A5:Q85 A1:V4 S5:V197 A99:Q19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7"/>
  <sheetViews>
    <sheetView workbookViewId="0">
      <selection activeCell="A1" sqref="A1:F1"/>
    </sheetView>
  </sheetViews>
  <sheetFormatPr defaultColWidth="7.94117647058824" defaultRowHeight="17.6" outlineLevelCol="5"/>
  <sheetData>
    <row r="1" spans="1:6">
      <c r="A1" t="s">
        <v>593</v>
      </c>
    </row>
    <row r="2" spans="1:6">
      <c r="A2" t="s">
        <v>594</v>
      </c>
    </row>
    <row r="4" spans="1:6">
      <c r="A4" t="s">
        <v>158</v>
      </c>
      <c r="B4" t="s">
        <v>16</v>
      </c>
      <c r="C4" t="s">
        <v>36</v>
      </c>
      <c r="D4" t="s">
        <v>595</v>
      </c>
      <c r="E4" t="s">
        <v>596</v>
      </c>
      <c r="F4" t="s">
        <v>20</v>
      </c>
    </row>
    <row r="5" spans="1:6">
      <c r="A5" t="s">
        <v>43</v>
      </c>
      <c r="B5" t="s">
        <v>21</v>
      </c>
      <c r="C5" t="s">
        <v>41</v>
      </c>
      <c r="D5" t="s">
        <v>271</v>
      </c>
      <c r="E5" t="s">
        <v>597</v>
      </c>
      <c r="F5" t="s">
        <v>598</v>
      </c>
    </row>
    <row r="6" spans="1:6">
      <c r="A6" t="s">
        <v>177</v>
      </c>
      <c r="B6" t="s">
        <v>21</v>
      </c>
      <c r="C6" t="s">
        <v>41</v>
      </c>
      <c r="D6" t="s">
        <v>271</v>
      </c>
      <c r="E6" t="s">
        <v>597</v>
      </c>
      <c r="F6" t="s">
        <v>598</v>
      </c>
    </row>
    <row r="7" spans="1:6">
      <c r="A7" t="s">
        <v>181</v>
      </c>
      <c r="B7" t="s">
        <v>21</v>
      </c>
      <c r="C7" t="s">
        <v>41</v>
      </c>
      <c r="D7" t="s">
        <v>271</v>
      </c>
      <c r="E7" t="s">
        <v>597</v>
      </c>
      <c r="F7" t="s">
        <v>598</v>
      </c>
    </row>
    <row r="8" spans="1:6">
      <c r="A8" t="s">
        <v>185</v>
      </c>
      <c r="B8" t="s">
        <v>21</v>
      </c>
      <c r="C8" t="s">
        <v>41</v>
      </c>
      <c r="D8" t="s">
        <v>271</v>
      </c>
      <c r="E8" t="s">
        <v>597</v>
      </c>
      <c r="F8" t="s">
        <v>598</v>
      </c>
    </row>
    <row r="9" spans="1:6">
      <c r="A9" t="s">
        <v>189</v>
      </c>
      <c r="B9" t="s">
        <v>21</v>
      </c>
      <c r="C9" t="s">
        <v>41</v>
      </c>
      <c r="D9" t="s">
        <v>271</v>
      </c>
      <c r="E9" t="s">
        <v>597</v>
      </c>
      <c r="F9" t="s">
        <v>598</v>
      </c>
    </row>
    <row r="10" spans="1:6">
      <c r="A10" t="s">
        <v>194</v>
      </c>
      <c r="B10" t="s">
        <v>21</v>
      </c>
      <c r="C10" t="s">
        <v>41</v>
      </c>
      <c r="D10" t="s">
        <v>271</v>
      </c>
      <c r="E10" t="s">
        <v>597</v>
      </c>
      <c r="F10" t="s">
        <v>598</v>
      </c>
    </row>
    <row r="11" spans="1:6">
      <c r="A11" t="s">
        <v>199</v>
      </c>
      <c r="B11" t="s">
        <v>21</v>
      </c>
      <c r="C11" t="s">
        <v>41</v>
      </c>
      <c r="D11" t="s">
        <v>271</v>
      </c>
      <c r="E11" t="s">
        <v>597</v>
      </c>
      <c r="F11" t="s">
        <v>598</v>
      </c>
    </row>
    <row r="12" spans="1:6">
      <c r="A12" t="s">
        <v>203</v>
      </c>
      <c r="B12" t="s">
        <v>21</v>
      </c>
      <c r="C12" t="s">
        <v>41</v>
      </c>
      <c r="D12" t="s">
        <v>271</v>
      </c>
      <c r="E12" t="s">
        <v>597</v>
      </c>
      <c r="F12" t="s">
        <v>598</v>
      </c>
    </row>
    <row r="13" spans="1:6">
      <c r="A13" t="s">
        <v>207</v>
      </c>
      <c r="B13" t="s">
        <v>21</v>
      </c>
      <c r="C13" t="s">
        <v>41</v>
      </c>
      <c r="D13" t="s">
        <v>271</v>
      </c>
      <c r="E13" t="s">
        <v>597</v>
      </c>
      <c r="F13" t="s">
        <v>598</v>
      </c>
    </row>
    <row r="14" spans="1:6">
      <c r="A14" t="s">
        <v>211</v>
      </c>
      <c r="B14" t="s">
        <v>21</v>
      </c>
      <c r="C14" t="s">
        <v>41</v>
      </c>
      <c r="D14" t="s">
        <v>271</v>
      </c>
      <c r="E14" t="s">
        <v>597</v>
      </c>
      <c r="F14" t="s">
        <v>598</v>
      </c>
    </row>
    <row r="15" spans="1:6">
      <c r="A15" t="s">
        <v>215</v>
      </c>
      <c r="B15" t="s">
        <v>21</v>
      </c>
      <c r="C15" t="s">
        <v>41</v>
      </c>
      <c r="D15" t="s">
        <v>271</v>
      </c>
      <c r="E15" t="s">
        <v>597</v>
      </c>
      <c r="F15" t="s">
        <v>598</v>
      </c>
    </row>
    <row r="16" spans="1:6">
      <c r="A16" t="s">
        <v>219</v>
      </c>
      <c r="B16" t="s">
        <v>21</v>
      </c>
      <c r="C16" t="s">
        <v>41</v>
      </c>
      <c r="D16" t="s">
        <v>271</v>
      </c>
      <c r="E16" t="s">
        <v>597</v>
      </c>
      <c r="F16" t="s">
        <v>598</v>
      </c>
    </row>
    <row r="17" spans="1:6">
      <c r="A17" t="s">
        <v>223</v>
      </c>
      <c r="B17" t="s">
        <v>21</v>
      </c>
      <c r="C17" t="s">
        <v>41</v>
      </c>
      <c r="D17" t="s">
        <v>271</v>
      </c>
      <c r="E17" t="s">
        <v>597</v>
      </c>
      <c r="F17" t="s">
        <v>598</v>
      </c>
    </row>
    <row r="18" spans="1:6">
      <c r="A18" t="s">
        <v>227</v>
      </c>
      <c r="B18" t="s">
        <v>21</v>
      </c>
      <c r="C18" t="s">
        <v>41</v>
      </c>
      <c r="D18" t="s">
        <v>271</v>
      </c>
      <c r="E18" t="s">
        <v>597</v>
      </c>
      <c r="F18" t="s">
        <v>598</v>
      </c>
    </row>
    <row r="19" spans="1:6">
      <c r="A19" t="s">
        <v>48</v>
      </c>
      <c r="B19" t="s">
        <v>25</v>
      </c>
      <c r="C19" t="s">
        <v>46</v>
      </c>
      <c r="D19" t="s">
        <v>271</v>
      </c>
      <c r="E19" t="s">
        <v>597</v>
      </c>
      <c r="F19" t="s">
        <v>598</v>
      </c>
    </row>
    <row r="20" spans="1:6">
      <c r="A20" t="s">
        <v>233</v>
      </c>
      <c r="B20" t="s">
        <v>25</v>
      </c>
      <c r="C20" t="s">
        <v>46</v>
      </c>
      <c r="D20" t="s">
        <v>271</v>
      </c>
      <c r="E20" t="s">
        <v>597</v>
      </c>
      <c r="F20" t="s">
        <v>598</v>
      </c>
    </row>
    <row r="21" spans="1:6">
      <c r="A21" t="s">
        <v>236</v>
      </c>
      <c r="B21" t="s">
        <v>25</v>
      </c>
      <c r="C21" t="s">
        <v>46</v>
      </c>
      <c r="D21" t="s">
        <v>271</v>
      </c>
      <c r="E21" t="s">
        <v>597</v>
      </c>
      <c r="F21" t="s">
        <v>598</v>
      </c>
    </row>
    <row r="22" spans="1:6">
      <c r="A22" t="s">
        <v>239</v>
      </c>
      <c r="B22" t="s">
        <v>25</v>
      </c>
      <c r="C22" t="s">
        <v>46</v>
      </c>
      <c r="D22" t="s">
        <v>271</v>
      </c>
      <c r="E22" t="s">
        <v>597</v>
      </c>
      <c r="F22" t="s">
        <v>598</v>
      </c>
    </row>
    <row r="23" spans="1:6">
      <c r="A23" t="s">
        <v>242</v>
      </c>
      <c r="B23" t="s">
        <v>25</v>
      </c>
      <c r="C23" t="s">
        <v>46</v>
      </c>
      <c r="D23" t="s">
        <v>271</v>
      </c>
      <c r="E23" t="s">
        <v>597</v>
      </c>
      <c r="F23" t="s">
        <v>598</v>
      </c>
    </row>
    <row r="24" spans="1:6">
      <c r="A24" t="s">
        <v>245</v>
      </c>
      <c r="B24" t="s">
        <v>25</v>
      </c>
      <c r="C24" t="s">
        <v>46</v>
      </c>
      <c r="D24" t="s">
        <v>271</v>
      </c>
      <c r="E24" t="s">
        <v>597</v>
      </c>
      <c r="F24" t="s">
        <v>598</v>
      </c>
    </row>
    <row r="25" spans="1:6">
      <c r="A25" t="s">
        <v>248</v>
      </c>
      <c r="B25" t="s">
        <v>25</v>
      </c>
      <c r="C25" t="s">
        <v>46</v>
      </c>
      <c r="D25" t="s">
        <v>271</v>
      </c>
      <c r="E25" t="s">
        <v>597</v>
      </c>
      <c r="F25" t="s">
        <v>598</v>
      </c>
    </row>
    <row r="26" spans="1:6">
      <c r="A26" t="s">
        <v>251</v>
      </c>
      <c r="B26" t="s">
        <v>25</v>
      </c>
      <c r="C26" t="s">
        <v>46</v>
      </c>
      <c r="D26" t="s">
        <v>271</v>
      </c>
      <c r="E26" t="s">
        <v>597</v>
      </c>
      <c r="F26" t="s">
        <v>598</v>
      </c>
    </row>
    <row r="27" spans="1:6">
      <c r="A27" t="s">
        <v>254</v>
      </c>
      <c r="B27" t="s">
        <v>25</v>
      </c>
      <c r="C27" t="s">
        <v>46</v>
      </c>
      <c r="D27" t="s">
        <v>271</v>
      </c>
      <c r="E27" t="s">
        <v>597</v>
      </c>
      <c r="F27" t="s">
        <v>598</v>
      </c>
    </row>
    <row r="28" spans="1:6">
      <c r="A28" t="s">
        <v>257</v>
      </c>
      <c r="B28" t="s">
        <v>25</v>
      </c>
      <c r="C28" t="s">
        <v>46</v>
      </c>
      <c r="D28" t="s">
        <v>271</v>
      </c>
      <c r="E28" t="s">
        <v>597</v>
      </c>
      <c r="F28" t="s">
        <v>598</v>
      </c>
    </row>
    <row r="29" spans="1:6">
      <c r="A29" t="s">
        <v>260</v>
      </c>
      <c r="B29" t="s">
        <v>25</v>
      </c>
      <c r="C29" t="s">
        <v>46</v>
      </c>
      <c r="D29" t="s">
        <v>271</v>
      </c>
      <c r="E29" t="s">
        <v>597</v>
      </c>
      <c r="F29" t="s">
        <v>598</v>
      </c>
    </row>
    <row r="30" spans="1:6">
      <c r="A30" t="s">
        <v>263</v>
      </c>
      <c r="B30" t="s">
        <v>25</v>
      </c>
      <c r="C30" t="s">
        <v>46</v>
      </c>
      <c r="D30" t="s">
        <v>271</v>
      </c>
      <c r="E30" t="s">
        <v>597</v>
      </c>
      <c r="F30" t="s">
        <v>598</v>
      </c>
    </row>
    <row r="31" spans="1:6">
      <c r="A31" t="s">
        <v>266</v>
      </c>
      <c r="B31" t="s">
        <v>25</v>
      </c>
      <c r="C31" t="s">
        <v>46</v>
      </c>
      <c r="D31" t="s">
        <v>271</v>
      </c>
      <c r="E31" t="s">
        <v>597</v>
      </c>
      <c r="F31" t="s">
        <v>598</v>
      </c>
    </row>
    <row r="32" spans="1:6">
      <c r="A32" t="s">
        <v>269</v>
      </c>
      <c r="B32" t="s">
        <v>25</v>
      </c>
      <c r="C32" t="s">
        <v>46</v>
      </c>
      <c r="D32" t="s">
        <v>271</v>
      </c>
      <c r="E32" t="s">
        <v>597</v>
      </c>
      <c r="F32" t="s">
        <v>598</v>
      </c>
    </row>
    <row r="33" spans="1:6">
      <c r="A33" t="s">
        <v>52</v>
      </c>
      <c r="B33" t="s">
        <v>25</v>
      </c>
      <c r="C33" t="s">
        <v>50</v>
      </c>
      <c r="D33" t="s">
        <v>271</v>
      </c>
      <c r="E33" t="s">
        <v>597</v>
      </c>
      <c r="F33" t="s">
        <v>598</v>
      </c>
    </row>
    <row r="34" spans="1:6">
      <c r="A34" t="s">
        <v>274</v>
      </c>
      <c r="B34" t="s">
        <v>25</v>
      </c>
      <c r="C34" t="s">
        <v>50</v>
      </c>
      <c r="D34" t="s">
        <v>271</v>
      </c>
      <c r="E34" t="s">
        <v>597</v>
      </c>
      <c r="F34" t="s">
        <v>598</v>
      </c>
    </row>
    <row r="35" spans="1:6">
      <c r="A35" t="s">
        <v>276</v>
      </c>
      <c r="B35" t="s">
        <v>25</v>
      </c>
      <c r="C35" t="s">
        <v>50</v>
      </c>
      <c r="D35" t="s">
        <v>271</v>
      </c>
      <c r="E35" t="s">
        <v>597</v>
      </c>
      <c r="F35" t="s">
        <v>598</v>
      </c>
    </row>
    <row r="36" spans="1:6">
      <c r="A36" t="s">
        <v>278</v>
      </c>
      <c r="B36" t="s">
        <v>25</v>
      </c>
      <c r="C36" t="s">
        <v>50</v>
      </c>
      <c r="D36" t="s">
        <v>271</v>
      </c>
      <c r="E36" t="s">
        <v>597</v>
      </c>
      <c r="F36" t="s">
        <v>598</v>
      </c>
    </row>
    <row r="37" spans="1:6">
      <c r="A37" t="s">
        <v>280</v>
      </c>
      <c r="B37" t="s">
        <v>25</v>
      </c>
      <c r="C37" t="s">
        <v>50</v>
      </c>
      <c r="D37" t="s">
        <v>271</v>
      </c>
      <c r="E37" t="s">
        <v>597</v>
      </c>
      <c r="F37" t="s">
        <v>598</v>
      </c>
    </row>
    <row r="38" spans="1:6">
      <c r="A38" t="s">
        <v>282</v>
      </c>
      <c r="B38" t="s">
        <v>25</v>
      </c>
      <c r="C38" t="s">
        <v>50</v>
      </c>
      <c r="D38" t="s">
        <v>271</v>
      </c>
      <c r="E38" t="s">
        <v>597</v>
      </c>
      <c r="F38" t="s">
        <v>598</v>
      </c>
    </row>
    <row r="39" spans="1:6">
      <c r="A39" t="s">
        <v>284</v>
      </c>
      <c r="B39" t="s">
        <v>25</v>
      </c>
      <c r="C39" t="s">
        <v>50</v>
      </c>
      <c r="D39" t="s">
        <v>271</v>
      </c>
      <c r="E39" t="s">
        <v>597</v>
      </c>
      <c r="F39" t="s">
        <v>598</v>
      </c>
    </row>
    <row r="40" spans="1:6">
      <c r="A40" t="s">
        <v>286</v>
      </c>
      <c r="B40" t="s">
        <v>25</v>
      </c>
      <c r="C40" t="s">
        <v>50</v>
      </c>
      <c r="D40" t="s">
        <v>271</v>
      </c>
      <c r="E40" t="s">
        <v>597</v>
      </c>
      <c r="F40" t="s">
        <v>598</v>
      </c>
    </row>
    <row r="41" spans="1:6">
      <c r="A41" t="s">
        <v>288</v>
      </c>
      <c r="B41" t="s">
        <v>25</v>
      </c>
      <c r="C41" t="s">
        <v>50</v>
      </c>
      <c r="D41" t="s">
        <v>271</v>
      </c>
      <c r="E41" t="s">
        <v>597</v>
      </c>
      <c r="F41" t="s">
        <v>598</v>
      </c>
    </row>
    <row r="42" spans="1:6">
      <c r="A42" t="s">
        <v>290</v>
      </c>
      <c r="B42" t="s">
        <v>25</v>
      </c>
      <c r="C42" t="s">
        <v>50</v>
      </c>
      <c r="D42" t="s">
        <v>271</v>
      </c>
      <c r="E42" t="s">
        <v>597</v>
      </c>
      <c r="F42" t="s">
        <v>598</v>
      </c>
    </row>
    <row r="43" spans="1:6">
      <c r="A43" t="s">
        <v>292</v>
      </c>
      <c r="B43" t="s">
        <v>25</v>
      </c>
      <c r="C43" t="s">
        <v>50</v>
      </c>
      <c r="D43" t="s">
        <v>271</v>
      </c>
      <c r="E43" t="s">
        <v>597</v>
      </c>
      <c r="F43" t="s">
        <v>598</v>
      </c>
    </row>
    <row r="44" spans="1:6">
      <c r="A44" t="s">
        <v>294</v>
      </c>
      <c r="B44" t="s">
        <v>25</v>
      </c>
      <c r="C44" t="s">
        <v>50</v>
      </c>
      <c r="D44" t="s">
        <v>271</v>
      </c>
      <c r="E44" t="s">
        <v>597</v>
      </c>
      <c r="F44" t="s">
        <v>598</v>
      </c>
    </row>
    <row r="45" spans="1:6">
      <c r="A45" t="s">
        <v>296</v>
      </c>
      <c r="B45" t="s">
        <v>25</v>
      </c>
      <c r="C45" t="s">
        <v>50</v>
      </c>
      <c r="D45" t="s">
        <v>271</v>
      </c>
      <c r="E45" t="s">
        <v>597</v>
      </c>
      <c r="F45" t="s">
        <v>598</v>
      </c>
    </row>
    <row r="46" spans="1:6">
      <c r="A46" t="s">
        <v>298</v>
      </c>
      <c r="B46" t="s">
        <v>25</v>
      </c>
      <c r="C46" t="s">
        <v>50</v>
      </c>
      <c r="D46" t="s">
        <v>271</v>
      </c>
      <c r="E46" t="s">
        <v>597</v>
      </c>
      <c r="F46" t="s">
        <v>598</v>
      </c>
    </row>
    <row r="47" spans="1:6">
      <c r="A47" t="s">
        <v>56</v>
      </c>
      <c r="B47" t="s">
        <v>25</v>
      </c>
      <c r="C47" t="s">
        <v>54</v>
      </c>
      <c r="D47" t="s">
        <v>271</v>
      </c>
      <c r="E47" t="s">
        <v>597</v>
      </c>
      <c r="F47" t="s">
        <v>598</v>
      </c>
    </row>
    <row r="48" spans="1:6">
      <c r="A48" t="s">
        <v>302</v>
      </c>
      <c r="B48" t="s">
        <v>25</v>
      </c>
      <c r="C48" t="s">
        <v>54</v>
      </c>
      <c r="D48" t="s">
        <v>271</v>
      </c>
      <c r="E48" t="s">
        <v>597</v>
      </c>
      <c r="F48" t="s">
        <v>598</v>
      </c>
    </row>
    <row r="49" spans="1:6">
      <c r="A49" t="s">
        <v>304</v>
      </c>
      <c r="B49" t="s">
        <v>25</v>
      </c>
      <c r="C49" t="s">
        <v>54</v>
      </c>
      <c r="D49" t="s">
        <v>271</v>
      </c>
      <c r="E49" t="s">
        <v>597</v>
      </c>
      <c r="F49" t="s">
        <v>598</v>
      </c>
    </row>
    <row r="50" spans="1:6">
      <c r="A50" t="s">
        <v>306</v>
      </c>
      <c r="B50" t="s">
        <v>25</v>
      </c>
      <c r="C50" t="s">
        <v>54</v>
      </c>
      <c r="D50" t="s">
        <v>271</v>
      </c>
      <c r="E50" t="s">
        <v>597</v>
      </c>
      <c r="F50" t="s">
        <v>598</v>
      </c>
    </row>
    <row r="51" spans="1:6">
      <c r="A51" t="s">
        <v>308</v>
      </c>
      <c r="B51" t="s">
        <v>25</v>
      </c>
      <c r="C51" t="s">
        <v>54</v>
      </c>
      <c r="D51" t="s">
        <v>271</v>
      </c>
      <c r="E51" t="s">
        <v>597</v>
      </c>
      <c r="F51" t="s">
        <v>598</v>
      </c>
    </row>
    <row r="52" spans="1:6">
      <c r="A52" t="s">
        <v>310</v>
      </c>
      <c r="B52" t="s">
        <v>25</v>
      </c>
      <c r="C52" t="s">
        <v>54</v>
      </c>
      <c r="D52" t="s">
        <v>271</v>
      </c>
      <c r="E52" t="s">
        <v>597</v>
      </c>
      <c r="F52" t="s">
        <v>598</v>
      </c>
    </row>
    <row r="53" spans="1:6">
      <c r="A53" t="s">
        <v>312</v>
      </c>
      <c r="B53" t="s">
        <v>25</v>
      </c>
      <c r="C53" t="s">
        <v>54</v>
      </c>
      <c r="D53" t="s">
        <v>271</v>
      </c>
      <c r="E53" t="s">
        <v>597</v>
      </c>
      <c r="F53" t="s">
        <v>598</v>
      </c>
    </row>
    <row r="54" spans="1:6">
      <c r="A54" t="s">
        <v>314</v>
      </c>
      <c r="B54" t="s">
        <v>25</v>
      </c>
      <c r="C54" t="s">
        <v>54</v>
      </c>
      <c r="D54" t="s">
        <v>271</v>
      </c>
      <c r="E54" t="s">
        <v>597</v>
      </c>
      <c r="F54" t="s">
        <v>598</v>
      </c>
    </row>
    <row r="55" spans="1:6">
      <c r="A55" t="s">
        <v>316</v>
      </c>
      <c r="B55" t="s">
        <v>25</v>
      </c>
      <c r="C55" t="s">
        <v>54</v>
      </c>
      <c r="D55" t="s">
        <v>271</v>
      </c>
      <c r="E55" t="s">
        <v>597</v>
      </c>
      <c r="F55" t="s">
        <v>598</v>
      </c>
    </row>
    <row r="56" spans="1:6">
      <c r="A56" t="s">
        <v>318</v>
      </c>
      <c r="B56" t="s">
        <v>25</v>
      </c>
      <c r="C56" t="s">
        <v>54</v>
      </c>
      <c r="D56" t="s">
        <v>271</v>
      </c>
      <c r="E56" t="s">
        <v>597</v>
      </c>
      <c r="F56" t="s">
        <v>598</v>
      </c>
    </row>
    <row r="57" spans="1:6">
      <c r="A57" t="s">
        <v>320</v>
      </c>
      <c r="B57" t="s">
        <v>25</v>
      </c>
      <c r="C57" t="s">
        <v>54</v>
      </c>
      <c r="D57" t="s">
        <v>271</v>
      </c>
      <c r="E57" t="s">
        <v>597</v>
      </c>
      <c r="F57" t="s">
        <v>598</v>
      </c>
    </row>
    <row r="58" spans="1:6">
      <c r="A58" t="s">
        <v>322</v>
      </c>
      <c r="B58" t="s">
        <v>25</v>
      </c>
      <c r="C58" t="s">
        <v>54</v>
      </c>
      <c r="D58" t="s">
        <v>271</v>
      </c>
      <c r="E58" t="s">
        <v>597</v>
      </c>
      <c r="F58" t="s">
        <v>598</v>
      </c>
    </row>
    <row r="59" spans="1:6">
      <c r="A59" t="s">
        <v>324</v>
      </c>
      <c r="B59" t="s">
        <v>25</v>
      </c>
      <c r="C59" t="s">
        <v>54</v>
      </c>
      <c r="D59" t="s">
        <v>271</v>
      </c>
      <c r="E59" t="s">
        <v>597</v>
      </c>
      <c r="F59" t="s">
        <v>598</v>
      </c>
    </row>
    <row r="60" spans="1:6">
      <c r="A60" t="s">
        <v>326</v>
      </c>
      <c r="B60" t="s">
        <v>25</v>
      </c>
      <c r="C60" t="s">
        <v>54</v>
      </c>
      <c r="D60" t="s">
        <v>271</v>
      </c>
      <c r="E60" t="s">
        <v>597</v>
      </c>
      <c r="F60" t="s">
        <v>598</v>
      </c>
    </row>
    <row r="61" spans="1:6">
      <c r="A61" t="s">
        <v>60</v>
      </c>
      <c r="B61" t="s">
        <v>25</v>
      </c>
      <c r="C61" t="s">
        <v>58</v>
      </c>
      <c r="D61" t="s">
        <v>271</v>
      </c>
      <c r="E61" t="s">
        <v>597</v>
      </c>
      <c r="F61" t="s">
        <v>598</v>
      </c>
    </row>
    <row r="62" spans="1:6">
      <c r="A62" t="s">
        <v>330</v>
      </c>
      <c r="B62" t="s">
        <v>25</v>
      </c>
      <c r="C62" t="s">
        <v>58</v>
      </c>
      <c r="D62" t="s">
        <v>271</v>
      </c>
      <c r="E62" t="s">
        <v>597</v>
      </c>
      <c r="F62" t="s">
        <v>598</v>
      </c>
    </row>
    <row r="63" spans="1:6">
      <c r="A63" t="s">
        <v>332</v>
      </c>
      <c r="B63" t="s">
        <v>25</v>
      </c>
      <c r="C63" t="s">
        <v>58</v>
      </c>
      <c r="D63" t="s">
        <v>271</v>
      </c>
      <c r="E63" t="s">
        <v>597</v>
      </c>
      <c r="F63" t="s">
        <v>598</v>
      </c>
    </row>
    <row r="64" spans="1:6">
      <c r="A64" t="s">
        <v>334</v>
      </c>
      <c r="B64" t="s">
        <v>25</v>
      </c>
      <c r="C64" t="s">
        <v>58</v>
      </c>
      <c r="D64" t="s">
        <v>271</v>
      </c>
      <c r="E64" t="s">
        <v>597</v>
      </c>
      <c r="F64" t="s">
        <v>598</v>
      </c>
    </row>
    <row r="65" spans="1:6">
      <c r="A65" t="s">
        <v>336</v>
      </c>
      <c r="B65" t="s">
        <v>25</v>
      </c>
      <c r="C65" t="s">
        <v>58</v>
      </c>
      <c r="D65" t="s">
        <v>271</v>
      </c>
      <c r="E65" t="s">
        <v>597</v>
      </c>
      <c r="F65" t="s">
        <v>598</v>
      </c>
    </row>
    <row r="66" spans="1:6">
      <c r="A66" t="s">
        <v>338</v>
      </c>
      <c r="B66" t="s">
        <v>25</v>
      </c>
      <c r="C66" t="s">
        <v>58</v>
      </c>
      <c r="D66" t="s">
        <v>271</v>
      </c>
      <c r="E66" t="s">
        <v>597</v>
      </c>
      <c r="F66" t="s">
        <v>598</v>
      </c>
    </row>
    <row r="67" spans="1:6">
      <c r="A67" t="s">
        <v>340</v>
      </c>
      <c r="B67" t="s">
        <v>25</v>
      </c>
      <c r="C67" t="s">
        <v>58</v>
      </c>
      <c r="D67" t="s">
        <v>271</v>
      </c>
      <c r="E67" t="s">
        <v>597</v>
      </c>
      <c r="F67" t="s">
        <v>598</v>
      </c>
    </row>
    <row r="68" spans="1:6">
      <c r="A68" t="s">
        <v>342</v>
      </c>
      <c r="B68" t="s">
        <v>25</v>
      </c>
      <c r="C68" t="s">
        <v>58</v>
      </c>
      <c r="D68" t="s">
        <v>271</v>
      </c>
      <c r="E68" t="s">
        <v>597</v>
      </c>
      <c r="F68" t="s">
        <v>598</v>
      </c>
    </row>
    <row r="69" spans="1:6">
      <c r="A69" t="s">
        <v>344</v>
      </c>
      <c r="B69" t="s">
        <v>25</v>
      </c>
      <c r="C69" t="s">
        <v>58</v>
      </c>
      <c r="D69" t="s">
        <v>271</v>
      </c>
      <c r="E69" t="s">
        <v>597</v>
      </c>
      <c r="F69" t="s">
        <v>598</v>
      </c>
    </row>
    <row r="70" spans="1:6">
      <c r="A70" t="s">
        <v>346</v>
      </c>
      <c r="B70" t="s">
        <v>25</v>
      </c>
      <c r="C70" t="s">
        <v>58</v>
      </c>
      <c r="D70" t="s">
        <v>271</v>
      </c>
      <c r="E70" t="s">
        <v>597</v>
      </c>
      <c r="F70" t="s">
        <v>598</v>
      </c>
    </row>
    <row r="71" spans="1:6">
      <c r="A71" t="s">
        <v>348</v>
      </c>
      <c r="B71" t="s">
        <v>25</v>
      </c>
      <c r="C71" t="s">
        <v>58</v>
      </c>
      <c r="D71" t="s">
        <v>271</v>
      </c>
      <c r="E71" t="s">
        <v>597</v>
      </c>
      <c r="F71" t="s">
        <v>598</v>
      </c>
    </row>
    <row r="72" spans="1:6">
      <c r="A72" t="s">
        <v>350</v>
      </c>
      <c r="B72" t="s">
        <v>25</v>
      </c>
      <c r="C72" t="s">
        <v>58</v>
      </c>
      <c r="D72" t="s">
        <v>271</v>
      </c>
      <c r="E72" t="s">
        <v>597</v>
      </c>
      <c r="F72" t="s">
        <v>598</v>
      </c>
    </row>
    <row r="73" spans="1:6">
      <c r="A73" t="s">
        <v>352</v>
      </c>
      <c r="B73" t="s">
        <v>25</v>
      </c>
      <c r="C73" t="s">
        <v>58</v>
      </c>
      <c r="D73" t="s">
        <v>271</v>
      </c>
      <c r="E73" t="s">
        <v>597</v>
      </c>
      <c r="F73" t="s">
        <v>598</v>
      </c>
    </row>
    <row r="74" spans="1:6">
      <c r="A74" t="s">
        <v>354</v>
      </c>
      <c r="B74" t="s">
        <v>25</v>
      </c>
      <c r="C74" t="s">
        <v>58</v>
      </c>
      <c r="D74" t="s">
        <v>271</v>
      </c>
      <c r="E74" t="s">
        <v>597</v>
      </c>
      <c r="F74" t="s">
        <v>598</v>
      </c>
    </row>
    <row r="75" spans="1:6">
      <c r="A75" t="s">
        <v>64</v>
      </c>
      <c r="B75" t="s">
        <v>25</v>
      </c>
      <c r="C75" t="s">
        <v>62</v>
      </c>
      <c r="D75" t="s">
        <v>271</v>
      </c>
      <c r="E75" t="s">
        <v>597</v>
      </c>
      <c r="F75" t="s">
        <v>598</v>
      </c>
    </row>
    <row r="76" spans="1:6">
      <c r="A76" t="s">
        <v>357</v>
      </c>
      <c r="B76" t="s">
        <v>25</v>
      </c>
      <c r="C76" t="s">
        <v>62</v>
      </c>
      <c r="D76" t="s">
        <v>271</v>
      </c>
      <c r="E76" t="s">
        <v>597</v>
      </c>
      <c r="F76" t="s">
        <v>598</v>
      </c>
    </row>
    <row r="77" spans="1:6">
      <c r="A77" t="s">
        <v>359</v>
      </c>
      <c r="B77" t="s">
        <v>25</v>
      </c>
      <c r="C77" t="s">
        <v>62</v>
      </c>
      <c r="D77" t="s">
        <v>271</v>
      </c>
      <c r="E77" t="s">
        <v>597</v>
      </c>
      <c r="F77" t="s">
        <v>598</v>
      </c>
    </row>
    <row r="78" spans="1:6">
      <c r="A78" t="s">
        <v>361</v>
      </c>
      <c r="B78" t="s">
        <v>25</v>
      </c>
      <c r="C78" t="s">
        <v>62</v>
      </c>
      <c r="D78" t="s">
        <v>271</v>
      </c>
      <c r="E78" t="s">
        <v>597</v>
      </c>
      <c r="F78" t="s">
        <v>598</v>
      </c>
    </row>
    <row r="79" spans="1:6">
      <c r="A79" t="s">
        <v>363</v>
      </c>
      <c r="B79" t="s">
        <v>25</v>
      </c>
      <c r="C79" t="s">
        <v>62</v>
      </c>
      <c r="D79" t="s">
        <v>271</v>
      </c>
      <c r="E79" t="s">
        <v>597</v>
      </c>
      <c r="F79" t="s">
        <v>598</v>
      </c>
    </row>
    <row r="80" spans="1:6">
      <c r="A80" t="s">
        <v>365</v>
      </c>
      <c r="B80" t="s">
        <v>25</v>
      </c>
      <c r="C80" t="s">
        <v>62</v>
      </c>
      <c r="D80" t="s">
        <v>271</v>
      </c>
      <c r="E80" t="s">
        <v>597</v>
      </c>
      <c r="F80" t="s">
        <v>598</v>
      </c>
    </row>
    <row r="81" spans="1:6">
      <c r="A81" t="s">
        <v>367</v>
      </c>
      <c r="B81" t="s">
        <v>25</v>
      </c>
      <c r="C81" t="s">
        <v>62</v>
      </c>
      <c r="D81" t="s">
        <v>271</v>
      </c>
      <c r="E81" t="s">
        <v>597</v>
      </c>
      <c r="F81" t="s">
        <v>598</v>
      </c>
    </row>
    <row r="82" spans="1:6">
      <c r="A82" t="s">
        <v>369</v>
      </c>
      <c r="B82" t="s">
        <v>25</v>
      </c>
      <c r="C82" t="s">
        <v>62</v>
      </c>
      <c r="D82" t="s">
        <v>271</v>
      </c>
      <c r="E82" t="s">
        <v>597</v>
      </c>
      <c r="F82" t="s">
        <v>598</v>
      </c>
    </row>
    <row r="83" spans="1:6">
      <c r="A83" t="s">
        <v>371</v>
      </c>
      <c r="B83" t="s">
        <v>25</v>
      </c>
      <c r="C83" t="s">
        <v>62</v>
      </c>
      <c r="D83" t="s">
        <v>271</v>
      </c>
      <c r="E83" t="s">
        <v>597</v>
      </c>
      <c r="F83" t="s">
        <v>598</v>
      </c>
    </row>
    <row r="84" spans="1:6">
      <c r="A84" t="s">
        <v>373</v>
      </c>
      <c r="B84" t="s">
        <v>25</v>
      </c>
      <c r="C84" t="s">
        <v>62</v>
      </c>
      <c r="D84" t="s">
        <v>271</v>
      </c>
      <c r="E84" t="s">
        <v>597</v>
      </c>
      <c r="F84" t="s">
        <v>598</v>
      </c>
    </row>
    <row r="85" spans="1:6">
      <c r="A85" t="s">
        <v>375</v>
      </c>
      <c r="B85" t="s">
        <v>25</v>
      </c>
      <c r="C85" t="s">
        <v>62</v>
      </c>
      <c r="D85" t="s">
        <v>271</v>
      </c>
      <c r="E85" t="s">
        <v>597</v>
      </c>
      <c r="F85" t="s">
        <v>598</v>
      </c>
    </row>
    <row r="86" spans="1:6">
      <c r="A86" t="s">
        <v>377</v>
      </c>
      <c r="B86" t="s">
        <v>25</v>
      </c>
      <c r="C86" t="s">
        <v>62</v>
      </c>
      <c r="D86" t="s">
        <v>271</v>
      </c>
      <c r="E86" t="s">
        <v>597</v>
      </c>
      <c r="F86" t="s">
        <v>598</v>
      </c>
    </row>
    <row r="87" spans="1:6">
      <c r="A87" t="s">
        <v>68</v>
      </c>
      <c r="B87" t="s">
        <v>25</v>
      </c>
      <c r="C87" t="s">
        <v>66</v>
      </c>
      <c r="D87" t="s">
        <v>271</v>
      </c>
      <c r="E87" t="s">
        <v>597</v>
      </c>
      <c r="F87" t="s">
        <v>598</v>
      </c>
    </row>
    <row r="88" spans="1:6">
      <c r="A88" t="s">
        <v>381</v>
      </c>
      <c r="B88" t="s">
        <v>25</v>
      </c>
      <c r="C88" t="s">
        <v>66</v>
      </c>
      <c r="D88" t="s">
        <v>271</v>
      </c>
      <c r="E88" t="s">
        <v>597</v>
      </c>
      <c r="F88" t="s">
        <v>598</v>
      </c>
    </row>
    <row r="89" spans="1:6">
      <c r="A89" t="s">
        <v>383</v>
      </c>
      <c r="B89" t="s">
        <v>25</v>
      </c>
      <c r="C89" t="s">
        <v>66</v>
      </c>
      <c r="D89" t="s">
        <v>271</v>
      </c>
      <c r="E89" t="s">
        <v>597</v>
      </c>
      <c r="F89" t="s">
        <v>598</v>
      </c>
    </row>
    <row r="90" spans="1:6">
      <c r="A90" t="s">
        <v>385</v>
      </c>
      <c r="B90" t="s">
        <v>25</v>
      </c>
      <c r="C90" t="s">
        <v>66</v>
      </c>
      <c r="D90" t="s">
        <v>271</v>
      </c>
      <c r="E90" t="s">
        <v>597</v>
      </c>
      <c r="F90" t="s">
        <v>598</v>
      </c>
    </row>
    <row r="91" spans="1:6">
      <c r="A91" t="s">
        <v>387</v>
      </c>
      <c r="B91" t="s">
        <v>25</v>
      </c>
      <c r="C91" t="s">
        <v>66</v>
      </c>
      <c r="D91" t="s">
        <v>271</v>
      </c>
      <c r="E91" t="s">
        <v>597</v>
      </c>
      <c r="F91" t="s">
        <v>598</v>
      </c>
    </row>
    <row r="92" spans="1:6">
      <c r="A92" t="s">
        <v>389</v>
      </c>
      <c r="B92" t="s">
        <v>25</v>
      </c>
      <c r="C92" t="s">
        <v>66</v>
      </c>
      <c r="D92" t="s">
        <v>271</v>
      </c>
      <c r="E92" t="s">
        <v>597</v>
      </c>
      <c r="F92" t="s">
        <v>598</v>
      </c>
    </row>
    <row r="93" spans="1:6">
      <c r="A93" t="s">
        <v>391</v>
      </c>
      <c r="B93" t="s">
        <v>25</v>
      </c>
      <c r="C93" t="s">
        <v>66</v>
      </c>
      <c r="D93" t="s">
        <v>271</v>
      </c>
      <c r="E93" t="s">
        <v>597</v>
      </c>
      <c r="F93" t="s">
        <v>598</v>
      </c>
    </row>
    <row r="94" spans="1:6">
      <c r="A94" t="s">
        <v>393</v>
      </c>
      <c r="B94" t="s">
        <v>25</v>
      </c>
      <c r="C94" t="s">
        <v>66</v>
      </c>
      <c r="D94" t="s">
        <v>271</v>
      </c>
      <c r="E94" t="s">
        <v>597</v>
      </c>
      <c r="F94" t="s">
        <v>598</v>
      </c>
    </row>
    <row r="95" spans="1:6">
      <c r="A95" t="s">
        <v>395</v>
      </c>
      <c r="B95" t="s">
        <v>25</v>
      </c>
      <c r="C95" t="s">
        <v>66</v>
      </c>
      <c r="D95" t="s">
        <v>271</v>
      </c>
      <c r="E95" t="s">
        <v>597</v>
      </c>
      <c r="F95" t="s">
        <v>598</v>
      </c>
    </row>
    <row r="96" spans="1:6">
      <c r="A96" t="s">
        <v>397</v>
      </c>
      <c r="B96" t="s">
        <v>25</v>
      </c>
      <c r="C96" t="s">
        <v>66</v>
      </c>
      <c r="D96" t="s">
        <v>271</v>
      </c>
      <c r="E96" t="s">
        <v>597</v>
      </c>
      <c r="F96" t="s">
        <v>598</v>
      </c>
    </row>
    <row r="97" spans="1:6">
      <c r="A97" t="s">
        <v>399</v>
      </c>
      <c r="B97" t="s">
        <v>25</v>
      </c>
      <c r="C97" t="s">
        <v>66</v>
      </c>
      <c r="D97" t="s">
        <v>271</v>
      </c>
      <c r="E97" t="s">
        <v>597</v>
      </c>
      <c r="F97" t="s">
        <v>598</v>
      </c>
    </row>
    <row r="98" spans="1:6">
      <c r="A98" t="s">
        <v>401</v>
      </c>
      <c r="B98" t="s">
        <v>25</v>
      </c>
      <c r="C98" t="s">
        <v>66</v>
      </c>
      <c r="D98" t="s">
        <v>271</v>
      </c>
      <c r="E98" t="s">
        <v>597</v>
      </c>
      <c r="F98" t="s">
        <v>598</v>
      </c>
    </row>
    <row r="99" spans="1:6">
      <c r="A99" t="s">
        <v>72</v>
      </c>
      <c r="B99" t="s">
        <v>31</v>
      </c>
      <c r="C99" t="s">
        <v>70</v>
      </c>
      <c r="D99" t="s">
        <v>271</v>
      </c>
      <c r="E99" t="s">
        <v>597</v>
      </c>
      <c r="F99" t="s">
        <v>598</v>
      </c>
    </row>
    <row r="100" spans="1:6">
      <c r="A100" t="s">
        <v>405</v>
      </c>
      <c r="B100" t="s">
        <v>31</v>
      </c>
      <c r="C100" t="s">
        <v>70</v>
      </c>
      <c r="D100" t="s">
        <v>271</v>
      </c>
      <c r="E100" t="s">
        <v>597</v>
      </c>
      <c r="F100" t="s">
        <v>598</v>
      </c>
    </row>
    <row r="101" spans="1:6">
      <c r="A101" t="s">
        <v>407</v>
      </c>
      <c r="B101" t="s">
        <v>31</v>
      </c>
      <c r="C101" t="s">
        <v>70</v>
      </c>
      <c r="D101" t="s">
        <v>271</v>
      </c>
      <c r="E101" t="s">
        <v>597</v>
      </c>
      <c r="F101" t="s">
        <v>598</v>
      </c>
    </row>
    <row r="102" spans="1:6">
      <c r="A102" t="s">
        <v>409</v>
      </c>
      <c r="B102" t="s">
        <v>31</v>
      </c>
      <c r="C102" t="s">
        <v>70</v>
      </c>
      <c r="D102" t="s">
        <v>271</v>
      </c>
      <c r="E102" t="s">
        <v>597</v>
      </c>
      <c r="F102" t="s">
        <v>598</v>
      </c>
    </row>
    <row r="103" spans="1:6">
      <c r="A103" t="s">
        <v>411</v>
      </c>
      <c r="B103" t="s">
        <v>31</v>
      </c>
      <c r="C103" t="s">
        <v>70</v>
      </c>
      <c r="D103" t="s">
        <v>271</v>
      </c>
      <c r="E103" t="s">
        <v>597</v>
      </c>
      <c r="F103" t="s">
        <v>598</v>
      </c>
    </row>
    <row r="104" spans="1:6">
      <c r="A104" t="s">
        <v>76</v>
      </c>
      <c r="B104" t="s">
        <v>31</v>
      </c>
      <c r="C104" t="s">
        <v>74</v>
      </c>
      <c r="D104" t="s">
        <v>271</v>
      </c>
      <c r="E104" t="s">
        <v>597</v>
      </c>
      <c r="F104" t="s">
        <v>598</v>
      </c>
    </row>
    <row r="105" spans="1:6">
      <c r="A105" t="s">
        <v>415</v>
      </c>
      <c r="B105" t="s">
        <v>31</v>
      </c>
      <c r="C105" t="s">
        <v>74</v>
      </c>
      <c r="D105" t="s">
        <v>271</v>
      </c>
      <c r="E105" t="s">
        <v>597</v>
      </c>
      <c r="F105" t="s">
        <v>598</v>
      </c>
    </row>
    <row r="106" spans="1:6">
      <c r="A106" t="s">
        <v>417</v>
      </c>
      <c r="B106" t="s">
        <v>31</v>
      </c>
      <c r="C106" t="s">
        <v>74</v>
      </c>
      <c r="D106" t="s">
        <v>271</v>
      </c>
      <c r="E106" t="s">
        <v>597</v>
      </c>
      <c r="F106" t="s">
        <v>598</v>
      </c>
    </row>
    <row r="107" spans="1:6">
      <c r="A107" t="s">
        <v>419</v>
      </c>
      <c r="B107" t="s">
        <v>31</v>
      </c>
      <c r="C107" t="s">
        <v>74</v>
      </c>
      <c r="D107" t="s">
        <v>271</v>
      </c>
      <c r="E107" t="s">
        <v>597</v>
      </c>
      <c r="F107" t="s">
        <v>598</v>
      </c>
    </row>
    <row r="108" spans="1:6">
      <c r="A108" t="s">
        <v>421</v>
      </c>
      <c r="B108" t="s">
        <v>31</v>
      </c>
      <c r="C108" t="s">
        <v>74</v>
      </c>
      <c r="D108" t="s">
        <v>271</v>
      </c>
      <c r="E108" t="s">
        <v>597</v>
      </c>
      <c r="F108" t="s">
        <v>598</v>
      </c>
    </row>
    <row r="109" spans="1:6">
      <c r="A109" t="s">
        <v>80</v>
      </c>
      <c r="B109" t="s">
        <v>31</v>
      </c>
      <c r="C109" t="s">
        <v>78</v>
      </c>
      <c r="D109" t="s">
        <v>271</v>
      </c>
      <c r="E109" t="s">
        <v>597</v>
      </c>
      <c r="F109" t="s">
        <v>598</v>
      </c>
    </row>
    <row r="110" spans="1:6">
      <c r="A110" t="s">
        <v>425</v>
      </c>
      <c r="B110" t="s">
        <v>31</v>
      </c>
      <c r="C110" t="s">
        <v>78</v>
      </c>
      <c r="D110" t="s">
        <v>271</v>
      </c>
      <c r="E110" t="s">
        <v>597</v>
      </c>
      <c r="F110" t="s">
        <v>598</v>
      </c>
    </row>
    <row r="111" spans="1:6">
      <c r="A111" t="s">
        <v>427</v>
      </c>
      <c r="B111" t="s">
        <v>31</v>
      </c>
      <c r="C111" t="s">
        <v>78</v>
      </c>
      <c r="D111" t="s">
        <v>271</v>
      </c>
      <c r="E111" t="s">
        <v>597</v>
      </c>
      <c r="F111" t="s">
        <v>598</v>
      </c>
    </row>
    <row r="112" spans="1:6">
      <c r="A112" t="s">
        <v>429</v>
      </c>
      <c r="B112" t="s">
        <v>31</v>
      </c>
      <c r="C112" t="s">
        <v>78</v>
      </c>
      <c r="D112" t="s">
        <v>271</v>
      </c>
      <c r="E112" t="s">
        <v>597</v>
      </c>
      <c r="F112" t="s">
        <v>598</v>
      </c>
    </row>
    <row r="113" spans="1:6">
      <c r="A113" t="s">
        <v>431</v>
      </c>
      <c r="B113" t="s">
        <v>31</v>
      </c>
      <c r="C113" t="s">
        <v>78</v>
      </c>
      <c r="D113" t="s">
        <v>271</v>
      </c>
      <c r="E113" t="s">
        <v>597</v>
      </c>
      <c r="F113" t="s">
        <v>598</v>
      </c>
    </row>
    <row r="114" spans="1:6">
      <c r="A114" t="s">
        <v>84</v>
      </c>
      <c r="B114" t="s">
        <v>31</v>
      </c>
      <c r="C114" t="s">
        <v>82</v>
      </c>
      <c r="D114" t="s">
        <v>271</v>
      </c>
      <c r="E114" t="s">
        <v>597</v>
      </c>
      <c r="F114" t="s">
        <v>598</v>
      </c>
    </row>
    <row r="115" spans="1:6">
      <c r="A115" t="s">
        <v>434</v>
      </c>
      <c r="B115" t="s">
        <v>31</v>
      </c>
      <c r="C115" t="s">
        <v>82</v>
      </c>
      <c r="D115" t="s">
        <v>271</v>
      </c>
      <c r="E115" t="s">
        <v>597</v>
      </c>
      <c r="F115" t="s">
        <v>598</v>
      </c>
    </row>
    <row r="116" spans="1:6">
      <c r="A116" t="s">
        <v>436</v>
      </c>
      <c r="B116" t="s">
        <v>31</v>
      </c>
      <c r="C116" t="s">
        <v>82</v>
      </c>
      <c r="D116" t="s">
        <v>271</v>
      </c>
      <c r="E116" t="s">
        <v>597</v>
      </c>
      <c r="F116" t="s">
        <v>598</v>
      </c>
    </row>
    <row r="117" spans="1:6">
      <c r="A117" t="s">
        <v>438</v>
      </c>
      <c r="B117" t="s">
        <v>31</v>
      </c>
      <c r="C117" t="s">
        <v>82</v>
      </c>
      <c r="D117" t="s">
        <v>271</v>
      </c>
      <c r="E117" t="s">
        <v>597</v>
      </c>
      <c r="F117" t="s">
        <v>598</v>
      </c>
    </row>
    <row r="118" spans="1:6">
      <c r="A118" t="s">
        <v>88</v>
      </c>
      <c r="B118" t="s">
        <v>31</v>
      </c>
      <c r="C118" t="s">
        <v>86</v>
      </c>
      <c r="D118" t="s">
        <v>271</v>
      </c>
      <c r="E118" t="s">
        <v>597</v>
      </c>
      <c r="F118" t="s">
        <v>598</v>
      </c>
    </row>
    <row r="119" spans="1:6">
      <c r="A119" t="s">
        <v>441</v>
      </c>
      <c r="B119" t="s">
        <v>31</v>
      </c>
      <c r="C119" t="s">
        <v>86</v>
      </c>
      <c r="D119" t="s">
        <v>271</v>
      </c>
      <c r="E119" t="s">
        <v>597</v>
      </c>
      <c r="F119" t="s">
        <v>598</v>
      </c>
    </row>
    <row r="120" spans="1:6">
      <c r="A120" t="s">
        <v>443</v>
      </c>
      <c r="B120" t="s">
        <v>31</v>
      </c>
      <c r="C120" t="s">
        <v>86</v>
      </c>
      <c r="D120" t="s">
        <v>271</v>
      </c>
      <c r="E120" t="s">
        <v>597</v>
      </c>
      <c r="F120" t="s">
        <v>598</v>
      </c>
    </row>
    <row r="121" spans="1:6">
      <c r="A121" t="s">
        <v>445</v>
      </c>
      <c r="B121" t="s">
        <v>31</v>
      </c>
      <c r="C121" t="s">
        <v>86</v>
      </c>
      <c r="D121" t="s">
        <v>271</v>
      </c>
      <c r="E121" t="s">
        <v>597</v>
      </c>
      <c r="F121" t="s">
        <v>598</v>
      </c>
    </row>
    <row r="122" spans="1:6">
      <c r="A122" t="s">
        <v>447</v>
      </c>
      <c r="B122" t="s">
        <v>31</v>
      </c>
      <c r="C122" t="s">
        <v>86</v>
      </c>
      <c r="D122" t="s">
        <v>271</v>
      </c>
      <c r="E122" t="s">
        <v>597</v>
      </c>
      <c r="F122" t="s">
        <v>598</v>
      </c>
    </row>
    <row r="123" spans="1:6">
      <c r="A123" t="s">
        <v>92</v>
      </c>
      <c r="B123" t="s">
        <v>31</v>
      </c>
      <c r="C123" t="s">
        <v>90</v>
      </c>
      <c r="D123" t="s">
        <v>271</v>
      </c>
      <c r="E123" t="s">
        <v>597</v>
      </c>
      <c r="F123" t="s">
        <v>598</v>
      </c>
    </row>
    <row r="124" spans="1:6">
      <c r="A124" t="s">
        <v>450</v>
      </c>
      <c r="B124" t="s">
        <v>31</v>
      </c>
      <c r="C124" t="s">
        <v>90</v>
      </c>
      <c r="D124" t="s">
        <v>271</v>
      </c>
      <c r="E124" t="s">
        <v>597</v>
      </c>
      <c r="F124" t="s">
        <v>598</v>
      </c>
    </row>
    <row r="125" spans="1:6">
      <c r="A125" t="s">
        <v>452</v>
      </c>
      <c r="B125" t="s">
        <v>31</v>
      </c>
      <c r="C125" t="s">
        <v>90</v>
      </c>
      <c r="D125" t="s">
        <v>271</v>
      </c>
      <c r="E125" t="s">
        <v>597</v>
      </c>
      <c r="F125" t="s">
        <v>598</v>
      </c>
    </row>
    <row r="126" spans="1:6">
      <c r="A126" t="s">
        <v>454</v>
      </c>
      <c r="B126" t="s">
        <v>31</v>
      </c>
      <c r="C126" t="s">
        <v>90</v>
      </c>
      <c r="D126" t="s">
        <v>271</v>
      </c>
      <c r="E126" t="s">
        <v>597</v>
      </c>
      <c r="F126" t="s">
        <v>598</v>
      </c>
    </row>
    <row r="127" spans="1:6">
      <c r="A127" t="s">
        <v>456</v>
      </c>
      <c r="B127" t="s">
        <v>31</v>
      </c>
      <c r="C127" t="s">
        <v>90</v>
      </c>
      <c r="D127" t="s">
        <v>271</v>
      </c>
      <c r="E127" t="s">
        <v>597</v>
      </c>
      <c r="F127" t="s">
        <v>598</v>
      </c>
    </row>
    <row r="128" spans="1:6">
      <c r="A128" t="s">
        <v>96</v>
      </c>
      <c r="B128" t="s">
        <v>31</v>
      </c>
      <c r="C128" t="s">
        <v>94</v>
      </c>
      <c r="D128" t="s">
        <v>271</v>
      </c>
      <c r="E128" t="s">
        <v>597</v>
      </c>
      <c r="F128" t="s">
        <v>598</v>
      </c>
    </row>
    <row r="129" spans="1:6">
      <c r="A129" t="s">
        <v>459</v>
      </c>
      <c r="B129" t="s">
        <v>31</v>
      </c>
      <c r="C129" t="s">
        <v>94</v>
      </c>
      <c r="D129" t="s">
        <v>271</v>
      </c>
      <c r="E129" t="s">
        <v>597</v>
      </c>
      <c r="F129" t="s">
        <v>598</v>
      </c>
    </row>
    <row r="130" spans="1:6">
      <c r="A130" t="s">
        <v>461</v>
      </c>
      <c r="B130" t="s">
        <v>31</v>
      </c>
      <c r="C130" t="s">
        <v>94</v>
      </c>
      <c r="D130" t="s">
        <v>271</v>
      </c>
      <c r="E130" t="s">
        <v>597</v>
      </c>
      <c r="F130" t="s">
        <v>598</v>
      </c>
    </row>
    <row r="131" spans="1:6">
      <c r="A131" t="s">
        <v>463</v>
      </c>
      <c r="B131" t="s">
        <v>31</v>
      </c>
      <c r="C131" t="s">
        <v>94</v>
      </c>
      <c r="D131" t="s">
        <v>271</v>
      </c>
      <c r="E131" t="s">
        <v>597</v>
      </c>
      <c r="F131" t="s">
        <v>598</v>
      </c>
    </row>
    <row r="132" spans="1:6">
      <c r="A132" t="s">
        <v>465</v>
      </c>
      <c r="B132" t="s">
        <v>31</v>
      </c>
      <c r="C132" t="s">
        <v>94</v>
      </c>
      <c r="D132" t="s">
        <v>271</v>
      </c>
      <c r="E132" t="s">
        <v>597</v>
      </c>
      <c r="F132" t="s">
        <v>598</v>
      </c>
    </row>
    <row r="133" spans="1:6">
      <c r="A133" t="s">
        <v>100</v>
      </c>
      <c r="B133" t="s">
        <v>31</v>
      </c>
      <c r="C133" t="s">
        <v>98</v>
      </c>
      <c r="D133" t="s">
        <v>271</v>
      </c>
      <c r="E133" t="s">
        <v>597</v>
      </c>
      <c r="F133" t="s">
        <v>598</v>
      </c>
    </row>
    <row r="134" spans="1:6">
      <c r="A134" t="s">
        <v>468</v>
      </c>
      <c r="B134" t="s">
        <v>31</v>
      </c>
      <c r="C134" t="s">
        <v>98</v>
      </c>
      <c r="D134" t="s">
        <v>271</v>
      </c>
      <c r="E134" t="s">
        <v>597</v>
      </c>
      <c r="F134" t="s">
        <v>598</v>
      </c>
    </row>
    <row r="135" spans="1:6">
      <c r="A135" t="s">
        <v>470</v>
      </c>
      <c r="B135" t="s">
        <v>31</v>
      </c>
      <c r="C135" t="s">
        <v>98</v>
      </c>
      <c r="D135" t="s">
        <v>271</v>
      </c>
      <c r="E135" t="s">
        <v>597</v>
      </c>
      <c r="F135" t="s">
        <v>598</v>
      </c>
    </row>
    <row r="136" spans="1:6">
      <c r="A136" t="s">
        <v>472</v>
      </c>
      <c r="B136" t="s">
        <v>31</v>
      </c>
      <c r="C136" t="s">
        <v>98</v>
      </c>
      <c r="D136" t="s">
        <v>271</v>
      </c>
      <c r="E136" t="s">
        <v>597</v>
      </c>
      <c r="F136" t="s">
        <v>598</v>
      </c>
    </row>
    <row r="137" spans="1:6">
      <c r="A137" t="s">
        <v>474</v>
      </c>
      <c r="B137" t="s">
        <v>31</v>
      </c>
      <c r="C137" t="s">
        <v>98</v>
      </c>
      <c r="D137" t="s">
        <v>271</v>
      </c>
      <c r="E137" t="s">
        <v>597</v>
      </c>
      <c r="F137" t="s">
        <v>598</v>
      </c>
    </row>
    <row r="138" spans="1:6">
      <c r="A138" t="s">
        <v>104</v>
      </c>
      <c r="B138" t="s">
        <v>31</v>
      </c>
      <c r="C138" t="s">
        <v>102</v>
      </c>
      <c r="D138" t="s">
        <v>271</v>
      </c>
      <c r="E138" t="s">
        <v>597</v>
      </c>
      <c r="F138" t="s">
        <v>598</v>
      </c>
    </row>
    <row r="139" spans="1:6">
      <c r="A139" t="s">
        <v>477</v>
      </c>
      <c r="B139" t="s">
        <v>31</v>
      </c>
      <c r="C139" t="s">
        <v>102</v>
      </c>
      <c r="D139" t="s">
        <v>271</v>
      </c>
      <c r="E139" t="s">
        <v>597</v>
      </c>
      <c r="F139" t="s">
        <v>598</v>
      </c>
    </row>
    <row r="140" spans="1:6">
      <c r="A140" t="s">
        <v>479</v>
      </c>
      <c r="B140" t="s">
        <v>31</v>
      </c>
      <c r="C140" t="s">
        <v>102</v>
      </c>
      <c r="D140" t="s">
        <v>271</v>
      </c>
      <c r="E140" t="s">
        <v>597</v>
      </c>
      <c r="F140" t="s">
        <v>598</v>
      </c>
    </row>
    <row r="141" spans="1:6">
      <c r="A141" t="s">
        <v>481</v>
      </c>
      <c r="B141" t="s">
        <v>31</v>
      </c>
      <c r="C141" t="s">
        <v>102</v>
      </c>
      <c r="D141" t="s">
        <v>271</v>
      </c>
      <c r="E141" t="s">
        <v>597</v>
      </c>
      <c r="F141" t="s">
        <v>598</v>
      </c>
    </row>
    <row r="142" spans="1:6">
      <c r="A142" t="s">
        <v>483</v>
      </c>
      <c r="B142" t="s">
        <v>31</v>
      </c>
      <c r="C142" t="s">
        <v>102</v>
      </c>
      <c r="D142" t="s">
        <v>271</v>
      </c>
      <c r="E142" t="s">
        <v>597</v>
      </c>
      <c r="F142" t="s">
        <v>598</v>
      </c>
    </row>
    <row r="143" spans="1:6">
      <c r="A143" t="s">
        <v>108</v>
      </c>
      <c r="B143" t="s">
        <v>31</v>
      </c>
      <c r="C143" t="s">
        <v>106</v>
      </c>
      <c r="D143" t="s">
        <v>271</v>
      </c>
      <c r="E143" t="s">
        <v>597</v>
      </c>
      <c r="F143" t="s">
        <v>598</v>
      </c>
    </row>
    <row r="144" spans="1:6">
      <c r="A144" t="s">
        <v>486</v>
      </c>
      <c r="B144" t="s">
        <v>31</v>
      </c>
      <c r="C144" t="s">
        <v>106</v>
      </c>
      <c r="D144" t="s">
        <v>271</v>
      </c>
      <c r="E144" t="s">
        <v>597</v>
      </c>
      <c r="F144" t="s">
        <v>598</v>
      </c>
    </row>
    <row r="145" spans="1:6">
      <c r="A145" t="s">
        <v>488</v>
      </c>
      <c r="B145" t="s">
        <v>31</v>
      </c>
      <c r="C145" t="s">
        <v>106</v>
      </c>
      <c r="D145" t="s">
        <v>271</v>
      </c>
      <c r="E145" t="s">
        <v>597</v>
      </c>
      <c r="F145" t="s">
        <v>598</v>
      </c>
    </row>
    <row r="146" spans="1:6">
      <c r="A146" t="s">
        <v>490</v>
      </c>
      <c r="B146" t="s">
        <v>31</v>
      </c>
      <c r="C146" t="s">
        <v>106</v>
      </c>
      <c r="D146" t="s">
        <v>271</v>
      </c>
      <c r="E146" t="s">
        <v>597</v>
      </c>
      <c r="F146" t="s">
        <v>598</v>
      </c>
    </row>
    <row r="147" spans="1:6">
      <c r="A147" t="s">
        <v>492</v>
      </c>
      <c r="B147" t="s">
        <v>31</v>
      </c>
      <c r="C147" t="s">
        <v>106</v>
      </c>
      <c r="D147" t="s">
        <v>271</v>
      </c>
      <c r="E147" t="s">
        <v>597</v>
      </c>
      <c r="F147" t="s">
        <v>598</v>
      </c>
    </row>
    <row r="148" spans="1:6">
      <c r="A148" t="s">
        <v>112</v>
      </c>
      <c r="B148" t="s">
        <v>31</v>
      </c>
      <c r="C148" t="s">
        <v>110</v>
      </c>
      <c r="D148" t="s">
        <v>271</v>
      </c>
      <c r="E148" t="s">
        <v>597</v>
      </c>
      <c r="F148" t="s">
        <v>598</v>
      </c>
    </row>
    <row r="149" spans="1:6">
      <c r="A149" t="s">
        <v>495</v>
      </c>
      <c r="B149" t="s">
        <v>31</v>
      </c>
      <c r="C149" t="s">
        <v>110</v>
      </c>
      <c r="D149" t="s">
        <v>271</v>
      </c>
      <c r="E149" t="s">
        <v>597</v>
      </c>
      <c r="F149" t="s">
        <v>598</v>
      </c>
    </row>
    <row r="150" spans="1:6">
      <c r="A150" t="s">
        <v>497</v>
      </c>
      <c r="B150" t="s">
        <v>31</v>
      </c>
      <c r="C150" t="s">
        <v>110</v>
      </c>
      <c r="D150" t="s">
        <v>271</v>
      </c>
      <c r="E150" t="s">
        <v>597</v>
      </c>
      <c r="F150" t="s">
        <v>598</v>
      </c>
    </row>
    <row r="151" spans="1:6">
      <c r="A151" t="s">
        <v>499</v>
      </c>
      <c r="B151" t="s">
        <v>31</v>
      </c>
      <c r="C151" t="s">
        <v>110</v>
      </c>
      <c r="D151" t="s">
        <v>271</v>
      </c>
      <c r="E151" t="s">
        <v>597</v>
      </c>
      <c r="F151" t="s">
        <v>598</v>
      </c>
    </row>
    <row r="152" spans="1:6">
      <c r="A152" t="s">
        <v>501</v>
      </c>
      <c r="B152" t="s">
        <v>31</v>
      </c>
      <c r="C152" t="s">
        <v>110</v>
      </c>
      <c r="D152" t="s">
        <v>271</v>
      </c>
      <c r="E152" t="s">
        <v>597</v>
      </c>
      <c r="F152" t="s">
        <v>598</v>
      </c>
    </row>
    <row r="153" spans="1:6">
      <c r="A153" t="s">
        <v>116</v>
      </c>
      <c r="B153" t="s">
        <v>31</v>
      </c>
      <c r="C153" t="s">
        <v>114</v>
      </c>
      <c r="D153" t="s">
        <v>271</v>
      </c>
      <c r="E153" t="s">
        <v>597</v>
      </c>
      <c r="F153" t="s">
        <v>598</v>
      </c>
    </row>
    <row r="154" spans="1:6">
      <c r="A154" t="s">
        <v>504</v>
      </c>
      <c r="B154" t="s">
        <v>31</v>
      </c>
      <c r="C154" t="s">
        <v>114</v>
      </c>
      <c r="D154" t="s">
        <v>271</v>
      </c>
      <c r="E154" t="s">
        <v>597</v>
      </c>
      <c r="F154" t="s">
        <v>598</v>
      </c>
    </row>
    <row r="155" spans="1:6">
      <c r="A155" t="s">
        <v>506</v>
      </c>
      <c r="B155" t="s">
        <v>31</v>
      </c>
      <c r="C155" t="s">
        <v>114</v>
      </c>
      <c r="D155" t="s">
        <v>271</v>
      </c>
      <c r="E155" t="s">
        <v>597</v>
      </c>
      <c r="F155" t="s">
        <v>598</v>
      </c>
    </row>
    <row r="156" spans="1:6">
      <c r="A156" t="s">
        <v>508</v>
      </c>
      <c r="B156" t="s">
        <v>31</v>
      </c>
      <c r="C156" t="s">
        <v>114</v>
      </c>
      <c r="D156" t="s">
        <v>271</v>
      </c>
      <c r="E156" t="s">
        <v>597</v>
      </c>
      <c r="F156" t="s">
        <v>598</v>
      </c>
    </row>
    <row r="157" spans="1:6">
      <c r="A157" t="s">
        <v>510</v>
      </c>
      <c r="B157" t="s">
        <v>31</v>
      </c>
      <c r="C157" t="s">
        <v>114</v>
      </c>
      <c r="D157" t="s">
        <v>271</v>
      </c>
      <c r="E157" t="s">
        <v>597</v>
      </c>
      <c r="F157" t="s">
        <v>598</v>
      </c>
    </row>
    <row r="158" spans="1:6">
      <c r="A158" t="s">
        <v>120</v>
      </c>
      <c r="B158" t="s">
        <v>31</v>
      </c>
      <c r="C158" t="s">
        <v>118</v>
      </c>
      <c r="D158" t="s">
        <v>271</v>
      </c>
      <c r="E158" t="s">
        <v>597</v>
      </c>
      <c r="F158" t="s">
        <v>598</v>
      </c>
    </row>
    <row r="159" spans="1:6">
      <c r="A159" t="s">
        <v>513</v>
      </c>
      <c r="B159" t="s">
        <v>31</v>
      </c>
      <c r="C159" t="s">
        <v>118</v>
      </c>
      <c r="D159" t="s">
        <v>271</v>
      </c>
      <c r="E159" t="s">
        <v>597</v>
      </c>
      <c r="F159" t="s">
        <v>598</v>
      </c>
    </row>
    <row r="160" spans="1:6">
      <c r="A160" t="s">
        <v>515</v>
      </c>
      <c r="B160" t="s">
        <v>31</v>
      </c>
      <c r="C160" t="s">
        <v>118</v>
      </c>
      <c r="D160" t="s">
        <v>271</v>
      </c>
      <c r="E160" t="s">
        <v>597</v>
      </c>
      <c r="F160" t="s">
        <v>598</v>
      </c>
    </row>
    <row r="161" spans="1:6">
      <c r="A161" t="s">
        <v>517</v>
      </c>
      <c r="B161" t="s">
        <v>31</v>
      </c>
      <c r="C161" t="s">
        <v>118</v>
      </c>
      <c r="D161" t="s">
        <v>271</v>
      </c>
      <c r="E161" t="s">
        <v>597</v>
      </c>
      <c r="F161" t="s">
        <v>598</v>
      </c>
    </row>
    <row r="162" spans="1:6">
      <c r="A162" t="s">
        <v>519</v>
      </c>
      <c r="B162" t="s">
        <v>31</v>
      </c>
      <c r="C162" t="s">
        <v>118</v>
      </c>
      <c r="D162" t="s">
        <v>271</v>
      </c>
      <c r="E162" t="s">
        <v>597</v>
      </c>
      <c r="F162" t="s">
        <v>598</v>
      </c>
    </row>
    <row r="163" spans="1:6">
      <c r="A163" t="s">
        <v>124</v>
      </c>
      <c r="B163" t="s">
        <v>31</v>
      </c>
      <c r="C163" t="s">
        <v>122</v>
      </c>
      <c r="D163" t="s">
        <v>271</v>
      </c>
      <c r="E163" t="s">
        <v>597</v>
      </c>
      <c r="F163" t="s">
        <v>598</v>
      </c>
    </row>
    <row r="164" spans="1:6">
      <c r="A164" t="s">
        <v>522</v>
      </c>
      <c r="B164" t="s">
        <v>31</v>
      </c>
      <c r="C164" t="s">
        <v>122</v>
      </c>
      <c r="D164" t="s">
        <v>271</v>
      </c>
      <c r="E164" t="s">
        <v>597</v>
      </c>
      <c r="F164" t="s">
        <v>598</v>
      </c>
    </row>
    <row r="165" spans="1:6">
      <c r="A165" t="s">
        <v>524</v>
      </c>
      <c r="B165" t="s">
        <v>31</v>
      </c>
      <c r="C165" t="s">
        <v>122</v>
      </c>
      <c r="D165" t="s">
        <v>271</v>
      </c>
      <c r="E165" t="s">
        <v>597</v>
      </c>
      <c r="F165" t="s">
        <v>598</v>
      </c>
    </row>
    <row r="166" spans="1:6">
      <c r="A166" t="s">
        <v>526</v>
      </c>
      <c r="B166" t="s">
        <v>31</v>
      </c>
      <c r="C166" t="s">
        <v>122</v>
      </c>
      <c r="D166" t="s">
        <v>271</v>
      </c>
      <c r="E166" t="s">
        <v>597</v>
      </c>
      <c r="F166" t="s">
        <v>598</v>
      </c>
    </row>
    <row r="167" spans="1:6">
      <c r="A167" t="s">
        <v>528</v>
      </c>
      <c r="B167" t="s">
        <v>31</v>
      </c>
      <c r="C167" t="s">
        <v>122</v>
      </c>
      <c r="D167" t="s">
        <v>271</v>
      </c>
      <c r="E167" t="s">
        <v>597</v>
      </c>
      <c r="F167" t="s">
        <v>598</v>
      </c>
    </row>
    <row r="168" spans="1:6">
      <c r="A168" t="s">
        <v>532</v>
      </c>
      <c r="B168" t="s">
        <v>28</v>
      </c>
      <c r="C168" t="s">
        <v>126</v>
      </c>
      <c r="D168" t="s">
        <v>271</v>
      </c>
      <c r="E168" t="s">
        <v>597</v>
      </c>
      <c r="F168" t="s">
        <v>598</v>
      </c>
    </row>
    <row r="169" spans="1:6">
      <c r="A169" t="s">
        <v>534</v>
      </c>
      <c r="B169" t="s">
        <v>28</v>
      </c>
      <c r="C169" t="s">
        <v>126</v>
      </c>
      <c r="D169" t="s">
        <v>271</v>
      </c>
      <c r="E169" t="s">
        <v>597</v>
      </c>
      <c r="F169" t="s">
        <v>598</v>
      </c>
    </row>
    <row r="170" spans="1:6">
      <c r="A170" t="s">
        <v>536</v>
      </c>
      <c r="B170" t="s">
        <v>28</v>
      </c>
      <c r="C170" t="s">
        <v>126</v>
      </c>
      <c r="D170" t="s">
        <v>271</v>
      </c>
      <c r="E170" t="s">
        <v>597</v>
      </c>
      <c r="F170" t="s">
        <v>598</v>
      </c>
    </row>
    <row r="171" spans="1:6">
      <c r="A171" t="s">
        <v>538</v>
      </c>
      <c r="B171" t="s">
        <v>28</v>
      </c>
      <c r="C171" t="s">
        <v>126</v>
      </c>
      <c r="D171" t="s">
        <v>271</v>
      </c>
      <c r="E171" t="s">
        <v>597</v>
      </c>
      <c r="F171" t="s">
        <v>598</v>
      </c>
    </row>
    <row r="172" spans="1:6">
      <c r="A172" t="s">
        <v>541</v>
      </c>
      <c r="B172" t="s">
        <v>28</v>
      </c>
      <c r="C172" t="s">
        <v>126</v>
      </c>
      <c r="D172" t="s">
        <v>271</v>
      </c>
      <c r="E172" t="s">
        <v>597</v>
      </c>
      <c r="F172" t="s">
        <v>598</v>
      </c>
    </row>
    <row r="173" spans="1:6">
      <c r="A173" t="s">
        <v>544</v>
      </c>
      <c r="B173" t="s">
        <v>28</v>
      </c>
      <c r="C173" t="s">
        <v>126</v>
      </c>
      <c r="D173" t="s">
        <v>271</v>
      </c>
      <c r="E173" t="s">
        <v>597</v>
      </c>
      <c r="F173" t="s">
        <v>598</v>
      </c>
    </row>
    <row r="174" spans="1:6">
      <c r="A174" t="s">
        <v>546</v>
      </c>
      <c r="B174" t="s">
        <v>28</v>
      </c>
      <c r="C174" t="s">
        <v>130</v>
      </c>
      <c r="D174" t="s">
        <v>271</v>
      </c>
      <c r="E174" t="s">
        <v>597</v>
      </c>
      <c r="F174" t="s">
        <v>598</v>
      </c>
    </row>
    <row r="175" spans="1:6">
      <c r="A175" t="s">
        <v>548</v>
      </c>
      <c r="B175" t="s">
        <v>28</v>
      </c>
      <c r="C175" t="s">
        <v>130</v>
      </c>
      <c r="D175" t="s">
        <v>271</v>
      </c>
      <c r="E175" t="s">
        <v>597</v>
      </c>
      <c r="F175" t="s">
        <v>598</v>
      </c>
    </row>
    <row r="176" spans="1:6">
      <c r="A176" t="s">
        <v>550</v>
      </c>
      <c r="B176" t="s">
        <v>28</v>
      </c>
      <c r="C176" t="s">
        <v>130</v>
      </c>
      <c r="D176" t="s">
        <v>271</v>
      </c>
      <c r="E176" t="s">
        <v>597</v>
      </c>
      <c r="F176" t="s">
        <v>598</v>
      </c>
    </row>
    <row r="177" spans="1:6">
      <c r="A177" t="s">
        <v>552</v>
      </c>
      <c r="B177" t="s">
        <v>28</v>
      </c>
      <c r="C177" t="s">
        <v>130</v>
      </c>
      <c r="D177" t="s">
        <v>271</v>
      </c>
      <c r="E177" t="s">
        <v>597</v>
      </c>
      <c r="F177" t="s">
        <v>598</v>
      </c>
    </row>
    <row r="178" spans="1:6">
      <c r="A178" t="s">
        <v>554</v>
      </c>
      <c r="B178" t="s">
        <v>28</v>
      </c>
      <c r="C178" t="s">
        <v>130</v>
      </c>
      <c r="D178" t="s">
        <v>271</v>
      </c>
      <c r="E178" t="s">
        <v>597</v>
      </c>
      <c r="F178" t="s">
        <v>598</v>
      </c>
    </row>
    <row r="179" spans="1:6">
      <c r="A179" t="s">
        <v>556</v>
      </c>
      <c r="B179" t="s">
        <v>28</v>
      </c>
      <c r="C179" t="s">
        <v>130</v>
      </c>
      <c r="D179" t="s">
        <v>271</v>
      </c>
      <c r="E179" t="s">
        <v>597</v>
      </c>
      <c r="F179" t="s">
        <v>598</v>
      </c>
    </row>
    <row r="180" spans="1:6">
      <c r="A180" t="s">
        <v>558</v>
      </c>
      <c r="B180" t="s">
        <v>28</v>
      </c>
      <c r="C180" t="s">
        <v>134</v>
      </c>
      <c r="D180" t="s">
        <v>271</v>
      </c>
      <c r="E180" t="s">
        <v>597</v>
      </c>
      <c r="F180" t="s">
        <v>598</v>
      </c>
    </row>
    <row r="181" spans="1:6">
      <c r="A181" t="s">
        <v>560</v>
      </c>
      <c r="B181" t="s">
        <v>28</v>
      </c>
      <c r="C181" t="s">
        <v>134</v>
      </c>
      <c r="D181" t="s">
        <v>271</v>
      </c>
      <c r="E181" t="s">
        <v>597</v>
      </c>
      <c r="F181" t="s">
        <v>598</v>
      </c>
    </row>
    <row r="182" spans="1:6">
      <c r="A182" t="s">
        <v>562</v>
      </c>
      <c r="B182" t="s">
        <v>28</v>
      </c>
      <c r="C182" t="s">
        <v>134</v>
      </c>
      <c r="D182" t="s">
        <v>271</v>
      </c>
      <c r="E182" t="s">
        <v>597</v>
      </c>
      <c r="F182" t="s">
        <v>598</v>
      </c>
    </row>
    <row r="183" spans="1:6">
      <c r="A183" t="s">
        <v>564</v>
      </c>
      <c r="B183" t="s">
        <v>28</v>
      </c>
      <c r="C183" t="s">
        <v>134</v>
      </c>
      <c r="D183" t="s">
        <v>271</v>
      </c>
      <c r="E183" t="s">
        <v>597</v>
      </c>
      <c r="F183" t="s">
        <v>598</v>
      </c>
    </row>
    <row r="184" spans="1:6">
      <c r="A184" t="s">
        <v>566</v>
      </c>
      <c r="B184" t="s">
        <v>28</v>
      </c>
      <c r="C184" t="s">
        <v>134</v>
      </c>
      <c r="D184" t="s">
        <v>271</v>
      </c>
      <c r="E184" t="s">
        <v>597</v>
      </c>
      <c r="F184" t="s">
        <v>598</v>
      </c>
    </row>
    <row r="185" spans="1:6">
      <c r="A185" t="s">
        <v>568</v>
      </c>
      <c r="B185" t="s">
        <v>28</v>
      </c>
      <c r="C185" t="s">
        <v>134</v>
      </c>
      <c r="D185" t="s">
        <v>271</v>
      </c>
      <c r="E185" t="s">
        <v>597</v>
      </c>
      <c r="F185" t="s">
        <v>598</v>
      </c>
    </row>
    <row r="186" spans="1:6">
      <c r="A186" t="s">
        <v>570</v>
      </c>
      <c r="B186" t="s">
        <v>28</v>
      </c>
      <c r="C186" t="s">
        <v>138</v>
      </c>
      <c r="D186" t="s">
        <v>271</v>
      </c>
      <c r="E186" t="s">
        <v>597</v>
      </c>
      <c r="F186" t="s">
        <v>598</v>
      </c>
    </row>
    <row r="187" spans="1:6">
      <c r="A187" t="s">
        <v>572</v>
      </c>
      <c r="B187" t="s">
        <v>28</v>
      </c>
      <c r="C187" t="s">
        <v>138</v>
      </c>
      <c r="D187" t="s">
        <v>271</v>
      </c>
      <c r="E187" t="s">
        <v>597</v>
      </c>
      <c r="F187" t="s">
        <v>598</v>
      </c>
    </row>
    <row r="188" spans="1:6">
      <c r="A188" t="s">
        <v>574</v>
      </c>
      <c r="B188" t="s">
        <v>28</v>
      </c>
      <c r="C188" t="s">
        <v>138</v>
      </c>
      <c r="D188" t="s">
        <v>271</v>
      </c>
      <c r="E188" t="s">
        <v>597</v>
      </c>
      <c r="F188" t="s">
        <v>598</v>
      </c>
    </row>
    <row r="189" spans="1:6">
      <c r="A189" t="s">
        <v>576</v>
      </c>
      <c r="B189" t="s">
        <v>28</v>
      </c>
      <c r="C189" t="s">
        <v>138</v>
      </c>
      <c r="D189" t="s">
        <v>271</v>
      </c>
      <c r="E189" t="s">
        <v>597</v>
      </c>
      <c r="F189" t="s">
        <v>598</v>
      </c>
    </row>
    <row r="190" spans="1:6">
      <c r="A190" t="s">
        <v>578</v>
      </c>
      <c r="B190" t="s">
        <v>28</v>
      </c>
      <c r="C190" t="s">
        <v>138</v>
      </c>
      <c r="D190" t="s">
        <v>271</v>
      </c>
      <c r="E190" t="s">
        <v>597</v>
      </c>
      <c r="F190" t="s">
        <v>598</v>
      </c>
    </row>
    <row r="191" spans="1:6">
      <c r="A191" t="s">
        <v>580</v>
      </c>
      <c r="B191" t="s">
        <v>28</v>
      </c>
      <c r="C191" t="s">
        <v>138</v>
      </c>
      <c r="D191" t="s">
        <v>271</v>
      </c>
      <c r="E191" t="s">
        <v>597</v>
      </c>
      <c r="F191" t="s">
        <v>598</v>
      </c>
    </row>
    <row r="192" spans="1:6">
      <c r="A192" t="s">
        <v>582</v>
      </c>
      <c r="B192" t="s">
        <v>28</v>
      </c>
      <c r="C192" t="s">
        <v>142</v>
      </c>
      <c r="D192" t="s">
        <v>271</v>
      </c>
      <c r="E192" t="s">
        <v>597</v>
      </c>
      <c r="F192" t="s">
        <v>598</v>
      </c>
    </row>
    <row r="193" spans="1:6">
      <c r="A193" t="s">
        <v>584</v>
      </c>
      <c r="B193" t="s">
        <v>28</v>
      </c>
      <c r="C193" t="s">
        <v>142</v>
      </c>
      <c r="D193" t="s">
        <v>271</v>
      </c>
      <c r="E193" t="s">
        <v>597</v>
      </c>
      <c r="F193" t="s">
        <v>598</v>
      </c>
    </row>
    <row r="194" spans="1:6">
      <c r="A194" t="s">
        <v>586</v>
      </c>
      <c r="B194" t="s">
        <v>28</v>
      </c>
      <c r="C194" t="s">
        <v>142</v>
      </c>
      <c r="D194" t="s">
        <v>271</v>
      </c>
      <c r="E194" t="s">
        <v>597</v>
      </c>
      <c r="F194" t="s">
        <v>598</v>
      </c>
    </row>
    <row r="195" spans="1:6">
      <c r="A195" t="s">
        <v>588</v>
      </c>
      <c r="B195" t="s">
        <v>28</v>
      </c>
      <c r="C195" t="s">
        <v>142</v>
      </c>
      <c r="D195" t="s">
        <v>271</v>
      </c>
      <c r="E195" t="s">
        <v>597</v>
      </c>
      <c r="F195" t="s">
        <v>598</v>
      </c>
    </row>
    <row r="196" spans="1:6">
      <c r="A196" t="s">
        <v>590</v>
      </c>
      <c r="B196" t="s">
        <v>28</v>
      </c>
      <c r="C196" t="s">
        <v>142</v>
      </c>
      <c r="D196" t="s">
        <v>271</v>
      </c>
      <c r="E196" t="s">
        <v>597</v>
      </c>
      <c r="F196" t="s">
        <v>598</v>
      </c>
    </row>
    <row r="197" spans="1:6">
      <c r="A197" t="s">
        <v>592</v>
      </c>
      <c r="B197" t="s">
        <v>28</v>
      </c>
      <c r="C197" t="s">
        <v>142</v>
      </c>
      <c r="D197" t="s">
        <v>271</v>
      </c>
      <c r="E197" t="s">
        <v>597</v>
      </c>
      <c r="F197" t="s">
        <v>598</v>
      </c>
    </row>
  </sheetData>
  <mergeCells count="2">
    <mergeCell ref="A1:F1"/>
    <mergeCell ref="A2:F2"/>
  </mergeCells>
  <pageMargins left="0.7" right="0.7" top="0.75" bottom="0.75" header="0.3" footer="0.3"/>
  <headerFooter/>
  <ignoredErrors>
    <ignoredError sqref="A1:F19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:C1"/>
    </sheetView>
  </sheetViews>
  <sheetFormatPr defaultColWidth="7.94117647058824" defaultRowHeight="17.6" outlineLevelRow="6" outlineLevelCol="2"/>
  <sheetData>
    <row r="1" spans="1:3">
      <c r="A1" t="s">
        <v>599</v>
      </c>
    </row>
    <row r="2" spans="1:3">
      <c r="A2" t="s">
        <v>600</v>
      </c>
    </row>
    <row r="4" spans="1:3">
      <c r="A4" t="s">
        <v>155</v>
      </c>
      <c r="B4" t="s">
        <v>601</v>
      </c>
      <c r="C4" t="s">
        <v>602</v>
      </c>
    </row>
    <row r="5" spans="1:3">
      <c r="A5" t="s">
        <v>603</v>
      </c>
      <c r="B5">
        <v>5</v>
      </c>
      <c r="C5" t="s">
        <v>604</v>
      </c>
    </row>
    <row r="6" spans="1:3">
      <c r="A6" t="s">
        <v>605</v>
      </c>
      <c r="B6">
        <v>4</v>
      </c>
      <c r="C6" t="s">
        <v>606</v>
      </c>
    </row>
    <row r="7" spans="1:3">
      <c r="A7" t="s">
        <v>607</v>
      </c>
      <c r="B7">
        <v>3.5</v>
      </c>
      <c r="C7" t="s">
        <v>608</v>
      </c>
    </row>
  </sheetData>
  <mergeCells count="2">
    <mergeCell ref="A1:C1"/>
    <mergeCell ref="A2:C2"/>
  </mergeCells>
  <pageMargins left="0.7" right="0.7" top="0.75" bottom="0.75" header="0.3" footer="0.3"/>
  <headerFooter/>
  <ignoredErrors>
    <ignoredError sqref="A1:C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Read Me</vt:lpstr>
      <vt:lpstr>Categories</vt:lpstr>
      <vt:lpstr>Subcategories</vt:lpstr>
      <vt:lpstr>Products</vt:lpstr>
      <vt:lpstr>Images</vt:lpstr>
      <vt:lpstr>Price 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zhao ziru</cp:lastModifiedBy>
  <dcterms:created xsi:type="dcterms:W3CDTF">2026-09-18T12:43:00Z</dcterms:created>
  <dcterms:modified xsi:type="dcterms:W3CDTF">2026-09-18T18:32:44Z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6D4619D5C4E5AB5AFFEEAB6A5A3E837D_42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0</vt:i4>
  </property>
</Properties>
</file>