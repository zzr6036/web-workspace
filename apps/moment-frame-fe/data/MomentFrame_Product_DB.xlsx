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8d146cd87c497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a4375283fe474b42"/>
    <x:sheet xmlns:r="http://schemas.openxmlformats.org/officeDocument/2006/relationships" name="Categories" sheetId="2" r:id="R1786f74328014e8d"/>
    <x:sheet xmlns:r="http://schemas.openxmlformats.org/officeDocument/2006/relationships" name="Subcategories" sheetId="3" r:id="R7861739a97f74b0a"/>
    <x:sheet xmlns:r="http://schemas.openxmlformats.org/officeDocument/2006/relationships" name="Products" sheetId="4" r:id="R0fa2a96c5905419c"/>
    <x:sheet xmlns:r="http://schemas.openxmlformats.org/officeDocument/2006/relationships" name="Images" sheetId="5" r:id="R9038a822dd5b47be"/>
    <x:sheet xmlns:r="http://schemas.openxmlformats.org/officeDocument/2006/relationships" name="Price Rules" sheetId="6" r:id="Rfe53ce566dfb43b2"/>
    <x:sheet xmlns:r="http://schemas.openxmlformats.org/officeDocument/2006/relationships" name="Product Status" sheetId="7" r:id="Rbc45d09d8dcc4c4a"/>
    <x:sheet xmlns:r="http://schemas.openxmlformats.org/officeDocument/2006/relationships" name="Product Sizes" sheetId="8" r:id="R2bbc203b099e43cf"/>
  </x:sheets>
</x:workbook>
</file>

<file path=xl/sharedStrings.xml><?xml version="1.0" encoding="utf-8"?>
<x:sst xmlns:x="http://schemas.openxmlformats.org/spreadsheetml/2006/main">
  <x:si>
    <x:t xml:space="preserve">MomentFrame Product Database</x:t>
  </x:si>
  <x:si>
    <x:t xml:space="preserve">Manual product catalogue for website, pricing and image management.</x:t>
  </x:si>
  <x:si>
    <x:t xml:space="preserve">Step</x:t>
  </x:si>
  <x:si>
    <x:t xml:space="preserve">What to update</x:t>
  </x:si>
  <x:si>
    <x:t xml:space="preserve">1. Categories</x:t>
  </x:si>
  <x:si>
    <x:t xml:space="preserve">Only change the display order or name when the website categories change.</x:t>
  </x:si>
  <x:si>
    <x:t xml:space="preserve">2. Subcategories</x:t>
  </x:si>
  <x:si>
    <x:t xml:space="preserve">Add a child style under one category. Give it a unique Subcategory Key and a default Image SKU.</x:t>
  </x:si>
  <x:si>
    <x:t xml:space="preserve">3. Products</x:t>
  </x:si>
  <x:si>
    <x:t xml:space="preserve">Add one row for each size. Product SKU must stay unique. Yellow cells are manual inputs.</x:t>
  </x:si>
  <x:si>
    <x:t xml:space="preserve">4. Images</x:t>
  </x:si>
  <x:si>
    <x:t xml:space="preserve">Each product size has its own Image SKU. Duplicate a source image file when different sizes use the same visual.</x:t>
  </x:si>
  <x:si>
    <x:t xml:space="preserve">5. Price Rules</x:t>
  </x:si>
  <x:si>
    <x:t xml:space="preserve">Change the multiplier values only when the pricing policy changes.</x:t>
  </x:si>
  <x:si>
    <x:t xml:space="preserve">Categories</x:t>
  </x:si>
  <x:si>
    <x:t xml:space="preserve">The website uses Category Key for simple URLs and stable mapping.</x:t>
  </x:si>
  <x:si>
    <x:t xml:space="preserve">Category Code</x:t>
  </x:si>
  <x:si>
    <x:t xml:space="preserve">Category Key</x:t>
  </x:si>
  <x:si>
    <x:t xml:space="preserve">Category Name</x:t>
  </x:si>
  <x:si>
    <x:t xml:space="preserve">Display Order</x:t>
  </x:si>
  <x:si>
    <x:t xml:space="preserve">Status</x:t>
  </x:si>
  <x:si>
    <x:t xml:space="preserve">S1</x:t>
  </x:si>
  <x:si>
    <x:t xml:space="preserve">frameless</x:t>
  </x:si>
  <x:si>
    <x:t xml:space="preserve">Classic Frameless Photo Panel</x:t>
  </x:si>
  <x:si>
    <x:t xml:space="preserve">Active</x:t>
  </x:si>
  <x:si>
    <x:t xml:space="preserve">S2</x:t>
  </x:si>
  <x:si>
    <x:t xml:space="preserve">bordered</x:t>
  </x:si>
  <x:si>
    <x:t xml:space="preserve">Classic Bordered Frame</x:t>
  </x:si>
  <x:si>
    <x:t xml:space="preserve">S3</x:t>
  </x:si>
  <x:si>
    <x:t xml:space="preserve">signature</x:t>
  </x:si>
  <x:si>
    <x:t xml:space="preserve">Signature Wooden Frame</x:t>
  </x:si>
  <x:si>
    <x:t xml:space="preserve">S4</x:t>
  </x:si>
  <x:si>
    <x:t xml:space="preserve">gallery</x:t>
  </x:si>
  <x:si>
    <x:t xml:space="preserve">Gallery Wooden Frame</x:t>
  </x:si>
  <x:si>
    <x:t xml:space="preserve">Subcategories</x:t>
  </x:si>
  <x:si>
    <x:t xml:space="preserve">Each subcategory keeps Chinese and English names, and points to its default Image SKU.</x:t>
  </x:si>
  <x:si>
    <x:t xml:space="preserve">Subcategory Key</x:t>
  </x:si>
  <x:si>
    <x:t xml:space="preserve">Subcategory Name</x:t>
  </x:si>
  <x:si>
    <x:t xml:space="preserve">Default Image SKU</x:t>
  </x:si>
  <x:si>
    <x:t xml:space="preserve">中文名称</x:t>
  </x:si>
  <x:si>
    <x:t xml:space="preserve">English Name</x:t>
  </x:si>
  <x:si>
    <x:t xml:space="preserve">S1-T1</x:t>
  </x:si>
  <x:si>
    <x:t xml:space="preserve">无边框-圆角</x:t>
  </x:si>
  <x:si>
    <x:t xml:space="preserve">IMG-S1-T1-07-STAND</x:t>
  </x:si>
  <x:si>
    <x:t xml:space="preserve">Draft</x:t>
  </x:si>
  <x:si>
    <x:t xml:space="preserve">Frameless Rounded Corner</x:t>
  </x:si>
  <x:si>
    <x:t xml:space="preserve">S2-T1</x:t>
  </x:si>
  <x:si>
    <x:t xml:space="preserve">白色边框-圆角</x:t>
  </x:si>
  <x:si>
    <x:t xml:space="preserve">IMG-S2-T1-07-STAND</x:t>
  </x:si>
  <x:si>
    <x:t xml:space="preserve">White Rounded Border</x:t>
  </x:si>
  <x:si>
    <x:t xml:space="preserve">S2-T2</x:t>
  </x:si>
  <x:si>
    <x:t xml:space="preserve">金色边框-圆角</x:t>
  </x:si>
  <x:si>
    <x:t xml:space="preserve">IMG-S2-T2-07-STAND</x:t>
  </x:si>
  <x:si>
    <x:t xml:space="preserve">Gold Rounded Border</x:t>
  </x:si>
  <x:si>
    <x:t xml:space="preserve">S2-T3</x:t>
  </x:si>
  <x:si>
    <x:t xml:space="preserve">银色边框-圆角</x:t>
  </x:si>
  <x:si>
    <x:t xml:space="preserve">IMG-S2-T3-07-STAND</x:t>
  </x:si>
  <x:si>
    <x:t xml:space="preserve">Silver Rounded Border</x:t>
  </x:si>
  <x:si>
    <x:t xml:space="preserve">S2-T4</x:t>
  </x:si>
  <x:si>
    <x:t xml:space="preserve">黑色边框-圆角</x:t>
  </x:si>
  <x:si>
    <x:t xml:space="preserve">IMG-S2-T4-07-STAND</x:t>
  </x:si>
  <x:si>
    <x:t xml:space="preserve">Black Rounded Border</x:t>
  </x:si>
  <x:si>
    <x:t xml:space="preserve">S2-T5</x:t>
  </x:si>
  <x:si>
    <x:t xml:space="preserve">黑色边框-直角</x:t>
  </x:si>
  <x:si>
    <x:t xml:space="preserve">IMG-S2-T5-07-STAND</x:t>
  </x:si>
  <x:si>
    <x:t xml:space="preserve">Black Square Corner</x:t>
  </x:si>
  <x:si>
    <x:t xml:space="preserve">S2-T6</x:t>
  </x:si>
  <x:si>
    <x:t xml:space="preserve">黑色边框-金色</x:t>
  </x:si>
  <x:si>
    <x:t xml:space="preserve">IMG-S2-T6-07-STAND</x:t>
  </x:si>
  <x:si>
    <x:t xml:space="preserve">Black Frame with Gold Trim</x:t>
  </x:si>
  <x:si>
    <x:t xml:space="preserve">S4-T1</x:t>
  </x:si>
  <x:si>
    <x:t xml:space="preserve">三秋暖木</x:t>
  </x:si>
  <x:si>
    <x:t xml:space="preserve">IMG-S4-T1-24-WALL</x:t>
  </x:si>
  <x:si>
    <x:t xml:space="preserve">Autumn Warm Wood</x:t>
  </x:si>
  <x:si>
    <x:t xml:space="preserve">S4-T2</x:t>
  </x:si>
  <x:si>
    <x:t xml:space="preserve">亚麻灰</x:t>
  </x:si>
  <x:si>
    <x:t xml:space="preserve">IMG-S4-T2-24-WALL</x:t>
  </x:si>
  <x:si>
    <x:t xml:space="preserve">Linen Grey</x:t>
  </x:si>
  <x:si>
    <x:t xml:space="preserve">S4-T3</x:t>
  </x:si>
  <x:si>
    <x:t xml:space="preserve">微风雅框</x:t>
  </x:si>
  <x:si>
    <x:t xml:space="preserve">IMG-S4-T3-24-WALL</x:t>
  </x:si>
  <x:si>
    <x:t xml:space="preserve">Breeze Elegance</x:t>
  </x:si>
  <x:si>
    <x:t xml:space="preserve">S4-T4</x:t>
  </x:si>
  <x:si>
    <x:t xml:space="preserve">时光印记</x:t>
  </x:si>
  <x:si>
    <x:t xml:space="preserve">IMG-S4-T4-24-WALL</x:t>
  </x:si>
  <x:si>
    <x:t xml:space="preserve">Time Imprint</x:t>
  </x:si>
  <x:si>
    <x:t xml:space="preserve">S4-T5</x:t>
  </x:si>
  <x:si>
    <x:t xml:space="preserve">棕木诗韵</x:t>
  </x:si>
  <x:si>
    <x:t xml:space="preserve">IMG-S4-T5-24-WALL</x:t>
  </x:si>
  <x:si>
    <x:t xml:space="preserve">Walnut Poem</x:t>
  </x:si>
  <x:si>
    <x:t xml:space="preserve">S4-T6</x:t>
  </x:si>
  <x:si>
    <x:t xml:space="preserve">流砂金棕</x:t>
  </x:si>
  <x:si>
    <x:t xml:space="preserve">IMG-S4-T6-24-WALL</x:t>
  </x:si>
  <x:si>
    <x:t xml:space="preserve">Golden Sand Walnut</x:t>
  </x:si>
  <x:si>
    <x:t xml:space="preserve">S4-T7</x:t>
  </x:si>
  <x:si>
    <x:t xml:space="preserve">白月光系</x:t>
  </x:si>
  <x:si>
    <x:t xml:space="preserve">IMG-S4-T7-24-WALL</x:t>
  </x:si>
  <x:si>
    <x:t xml:space="preserve">Moonlight White</x:t>
  </x:si>
  <x:si>
    <x:t xml:space="preserve">S4-T8</x:t>
  </x:si>
  <x:si>
    <x:t xml:space="preserve">胡桃木纹</x:t>
  </x:si>
  <x:si>
    <x:t xml:space="preserve">IMG-S4-T8-24-WALL</x:t>
  </x:si>
  <x:si>
    <x:t xml:space="preserve">Walnut Grain</x:t>
  </x:si>
  <x:si>
    <x:t xml:space="preserve">S4-T9</x:t>
  </x:si>
  <x:si>
    <x:t xml:space="preserve">臻品银灰</x:t>
  </x:si>
  <x:si>
    <x:t xml:space="preserve">IMG-S4-T9-24-WALL</x:t>
  </x:si>
  <x:si>
    <x:t xml:space="preserve">Premium Silver Grey</x:t>
  </x:si>
  <x:si>
    <x:t xml:space="preserve">S4-T10</x:t>
  </x:si>
  <x:si>
    <x:t xml:space="preserve">莫奈窗台</x:t>
  </x:si>
  <x:si>
    <x:t xml:space="preserve">IMG-S4-T10-24-WALL</x:t>
  </x:si>
  <x:si>
    <x:t xml:space="preserve">Monet Window</x:t>
  </x:si>
  <x:si>
    <x:t xml:space="preserve">S4-T11</x:t>
  </x:si>
  <x:si>
    <x:t xml:space="preserve">象牙白</x:t>
  </x:si>
  <x:si>
    <x:t xml:space="preserve">IMG-S4-T11-24-WALL</x:t>
  </x:si>
  <x:si>
    <x:t xml:space="preserve">Ivory White</x:t>
  </x:si>
  <x:si>
    <x:t xml:space="preserve">S4-T12</x:t>
  </x:si>
  <x:si>
    <x:t xml:space="preserve">鎏金雅框</x:t>
  </x:si>
  <x:si>
    <x:t xml:space="preserve">IMG-S4-T12-24-WALL</x:t>
  </x:si>
  <x:si>
    <x:t xml:space="preserve">Gilded Elegance</x:t>
  </x:si>
  <x:si>
    <x:t xml:space="preserve">S4-T13</x:t>
  </x:si>
  <x:si>
    <x:t xml:space="preserve">韶华映框</x:t>
  </x:si>
  <x:si>
    <x:t xml:space="preserve">IMG-S4-T13-24-WALL</x:t>
  </x:si>
  <x:si>
    <x:t xml:space="preserve">Golden Years Frame</x:t>
  </x:si>
  <x:si>
    <x:t xml:space="preserve">S4-T14</x:t>
  </x:si>
  <x:si>
    <x:t xml:space="preserve">墨影时光</x:t>
  </x:si>
  <x:si>
    <x:t xml:space="preserve">IMG-S4-T14-24-WALL</x:t>
  </x:si>
  <x:si>
    <x:t xml:space="preserve">Ink Shadow Time</x:t>
  </x:si>
  <x:si>
    <x:t xml:space="preserve">S3-T1</x:t>
  </x:si>
  <x:si>
    <x:t xml:space="preserve">实木-复古胡桃色</x:t>
  </x:si>
  <x:si>
    <x:t xml:space="preserve">IMG-S3-T1-06-STAND</x:t>
  </x:si>
  <x:si>
    <x:t xml:space="preserve">Solid Wood - Vintage Walnut</x:t>
  </x:si>
  <x:si>
    <x:t xml:space="preserve">S3-T2</x:t>
  </x:si>
  <x:si>
    <x:t xml:space="preserve">实木-暖胡桃色</x:t>
  </x:si>
  <x:si>
    <x:t xml:space="preserve">IMG-S3-T2-06-STAND</x:t>
  </x:si>
  <x:si>
    <x:t xml:space="preserve">Solid Wood - Warm Walnut</x:t>
  </x:si>
  <x:si>
    <x:t xml:space="preserve">S3-T3</x:t>
  </x:si>
  <x:si>
    <x:t xml:space="preserve">清新浅麦色</x:t>
  </x:si>
  <x:si>
    <x:t xml:space="preserve">IMG-S3-T3-06-STAND</x:t>
  </x:si>
  <x:si>
    <x:t xml:space="preserve">Fresh Light Wheat</x:t>
  </x:si>
  <x:si>
    <x:t xml:space="preserve">S3-T4</x:t>
  </x:si>
  <x:si>
    <x:t xml:space="preserve">焦茶色</x:t>
  </x:si>
  <x:si>
    <x:t xml:space="preserve">IMG-S3-T4-06-STAND</x:t>
  </x:si>
  <x:si>
    <x:t xml:space="preserve">Roasted Tea</x:t>
  </x:si>
  <x:si>
    <x:t xml:space="preserve">S3-T5</x:t>
  </x:si>
  <x:si>
    <x:t xml:space="preserve">黑胡桃色</x:t>
  </x:si>
  <x:si>
    <x:t xml:space="preserve">IMG-S3-T5-06-STAND</x:t>
  </x:si>
  <x:si>
    <x:t xml:space="preserve">Black Walnut</x:t>
  </x:si>
  <x:si>
    <x:t xml:space="preserve">Products</x:t>
  </x:si>
  <x:si>
    <x:t xml:space="preserve">One row is one sellable size. Yellow cells are inputs. Markup and Selling Price (SGD) are calculated.</x:t>
  </x:si>
  <x:si>
    <x:t xml:space="preserve">Size</x:t>
  </x:si>
  <x:si>
    <x:t xml:space="preserve">Product Name 中文</x:t>
  </x:si>
  <x:si>
    <x:t xml:space="preserve">Product Name English</x:t>
  </x:si>
  <x:si>
    <x:t xml:space="preserve">Display Type</x:t>
  </x:si>
  <x:si>
    <x:t xml:space="preserve">Product SKU</x:t>
  </x:si>
  <x:si>
    <x:t xml:space="preserve">Legacy SKU</x:t>
  </x:si>
  <x:si>
    <x:t xml:space="preserve">Cost RMB</x:t>
  </x:si>
  <x:si>
    <x:t xml:space="preserve">Original Cost SGD</x:t>
  </x:si>
  <x:si>
    <x:t xml:space="preserve">Markup</x:t>
  </x:si>
  <x:si>
    <x:t xml:space="preserve">Selling Price (SGD)</x:t>
  </x:si>
  <x:si>
    <x:t xml:space="preserve">Image SKU</x:t>
  </x:si>
  <x:si>
    <x:t xml:space="preserve">Image Path</x:t>
  </x:si>
  <x:si>
    <x:t xml:space="preserve">Legacy Source Row</x:t>
  </x:si>
  <x:si>
    <x:t xml:space="preserve">Type</x:t>
  </x:si>
  <x:si>
    <x:t xml:space="preserve">Color</x:t>
  </x:si>
  <x:si>
    <x:t xml:space="preserve">Craftsmanship</x:t>
  </x:si>
  <x:si>
    <x:t xml:space="preserve">Photo Included</x:t>
  </x:si>
  <x:si>
    <x:t xml:space="preserve">Material</x:t>
  </x:si>
  <x:si>
    <x:t xml:space="preserve">Product Description</x:t>
  </x:si>
  <x:si>
    <x:t xml:space="preserve">7"</x:t>
  </x:si>
  <x:si>
    <x:t xml:space="preserve">Stand</x:t>
  </x:si>
  <x:si>
    <x:t xml:space="preserve">MFR-S1-T1-07-STAND</x:t>
  </x:si>
  <x:si>
    <x:t xml:space="preserve">S1-T1-SKUXXX-7</x:t>
  </x:si>
  <x:si>
    <x:t xml:space="preserve">171</x:t>
  </x:si>
  <x:si>
    <x:t xml:space="preserve">Tabletop</x:t>
  </x:si>
  <x:si>
    <x:t xml:space="preserve">Borderless</x:t>
  </x:si>
  <x:si>
    <x:t xml:space="preserve">Lamination</x:t>
  </x:si>
  <x:si>
    <x:t xml:space="preserve">Yes</x:t>
  </x:si>
  <x:si>
    <x:t xml:space="preserve">PVC Material for Photo Studios</x:t>
  </x:si>
  <x:si>
    <x:t xml:space="preserve">8"</x:t>
  </x:si>
  <x:si>
    <x:t xml:space="preserve">MFR-S1-T1-08-STAND</x:t>
  </x:si>
  <x:si>
    <x:t xml:space="preserve">S1-T1-SKUXXX-8</x:t>
  </x:si>
  <x:si>
    <x:t xml:space="preserve">IMG-S1-T1-08-STAND</x:t>
  </x:si>
  <x:si>
    <x:t xml:space="preserve">10"</x:t>
  </x:si>
  <x:si>
    <x:t xml:space="preserve">MFR-S1-T1-10-STAND</x:t>
  </x:si>
  <x:si>
    <x:t xml:space="preserve">S1-T1-SKUXXX-9</x:t>
  </x:si>
  <x:si>
    <x:t xml:space="preserve">IMG-S1-T1-10-STAND</x:t>
  </x:si>
  <x:si>
    <x:t xml:space="preserve">12"</x:t>
  </x:si>
  <x:si>
    <x:t xml:space="preserve">MFR-S1-T1-12-STAND</x:t>
  </x:si>
  <x:si>
    <x:t xml:space="preserve">S1-T1-SKUXXX-10</x:t>
  </x:si>
  <x:si>
    <x:t xml:space="preserve">IMG-S1-T1-12-STAND</x:t>
  </x:si>
  <x:si>
    <x:t xml:space="preserve">14"</x:t>
  </x:si>
  <x:si>
    <x:t xml:space="preserve">MFR-S1-T1-14-STAND</x:t>
  </x:si>
  <x:si>
    <x:t xml:space="preserve">S1-T1-SKUXXX-11</x:t>
  </x:si>
  <x:si>
    <x:t xml:space="preserve">IMG-S1-T1-14-STAND</x:t>
  </x:si>
  <x:si>
    <x:t xml:space="preserve">16"</x:t>
  </x:si>
  <x:si>
    <x:t xml:space="preserve">Wall</x:t>
  </x:si>
  <x:si>
    <x:t xml:space="preserve">MFR-S1-T1-16-WALL</x:t>
  </x:si>
  <x:si>
    <x:t xml:space="preserve">S1-T1-SKUXXX-12</x:t>
  </x:si>
  <x:si>
    <x:t xml:space="preserve">IMG-S1-T1-16-WALL</x:t>
  </x:si>
  <x:si>
    <x:t xml:space="preserve">Wall-mounted</x:t>
  </x:si>
  <x:si>
    <x:t xml:space="preserve">18"</x:t>
  </x:si>
  <x:si>
    <x:t xml:space="preserve">MFR-S1-T1-18-WALL</x:t>
  </x:si>
  <x:si>
    <x:t xml:space="preserve">S1-T1-SKUXXX-13</x:t>
  </x:si>
  <x:si>
    <x:t xml:space="preserve">IMG-S1-T1-18-WALL</x:t>
  </x:si>
  <x:si>
    <x:t xml:space="preserve">20"</x:t>
  </x:si>
  <x:si>
    <x:t xml:space="preserve">MFR-S1-T1-20-WALL</x:t>
  </x:si>
  <x:si>
    <x:t xml:space="preserve">S1-T1-SKUXXX-14</x:t>
  </x:si>
  <x:si>
    <x:t xml:space="preserve">IMG-S1-T1-20-WALL</x:t>
  </x:si>
  <x:si>
    <x:t xml:space="preserve">24"</x:t>
  </x:si>
  <x:si>
    <x:t xml:space="preserve">MFR-S1-T1-24-WALL</x:t>
  </x:si>
  <x:si>
    <x:t xml:space="preserve">S1-T1-SKUXXX-15</x:t>
  </x:si>
  <x:si>
    <x:t xml:space="preserve">IMG-S1-T1-24-WALL</x:t>
  </x:si>
  <x:si>
    <x:t xml:space="preserve">30"</x:t>
  </x:si>
  <x:si>
    <x:t xml:space="preserve">MFR-S1-T1-30-WALL</x:t>
  </x:si>
  <x:si>
    <x:t xml:space="preserve">S1-T1-SKUXXX-16</x:t>
  </x:si>
  <x:si>
    <x:t xml:space="preserve">IMG-S1-T1-30-WALL</x:t>
  </x:si>
  <x:si>
    <x:t xml:space="preserve">32"</x:t>
  </x:si>
  <x:si>
    <x:t xml:space="preserve">MFR-S1-T1-32-WALL</x:t>
  </x:si>
  <x:si>
    <x:t xml:space="preserve">S1-T1-SKUXXX-17</x:t>
  </x:si>
  <x:si>
    <x:t xml:space="preserve">IMG-S1-T1-32-WALL</x:t>
  </x:si>
  <x:si>
    <x:t xml:space="preserve">36"</x:t>
  </x:si>
  <x:si>
    <x:t xml:space="preserve">MFR-S1-T1-36-WALL</x:t>
  </x:si>
  <x:si>
    <x:t xml:space="preserve">S1-T1-SKUXXX-18</x:t>
  </x:si>
  <x:si>
    <x:t xml:space="preserve">IMG-S1-T1-36-WALL</x:t>
  </x:si>
  <x:si>
    <x:t xml:space="preserve">40"</x:t>
  </x:si>
  <x:si>
    <x:t xml:space="preserve">MFR-S1-T1-40-WALL</x:t>
  </x:si>
  <x:si>
    <x:t xml:space="preserve">S1-T1-SKUXXX-19</x:t>
  </x:si>
  <x:si>
    <x:t xml:space="preserve">IMG-S1-T1-40-WALL</x:t>
  </x:si>
  <x:si>
    <x:t xml:space="preserve">48"</x:t>
  </x:si>
  <x:si>
    <x:t xml:space="preserve">MFR-S1-T1-48-WALL</x:t>
  </x:si>
  <x:si>
    <x:t xml:space="preserve">S1-T1-SKUXXX-20</x:t>
  </x:si>
  <x:si>
    <x:t xml:space="preserve">IMG-S1-T1-48-WALL</x:t>
  </x:si>
  <x:si>
    <x:t xml:space="preserve">MFR-S2-T1-07-STAND</x:t>
  </x:si>
  <x:si>
    <x:t xml:space="preserve">S1-T2-SKUXXX-7</x:t>
  </x:si>
  <x:si>
    <x:t xml:space="preserve">White</x:t>
  </x:si>
  <x:si>
    <x:t xml:space="preserve">MFR-S2-T1-08-STAND</x:t>
  </x:si>
  <x:si>
    <x:t xml:space="preserve">S1-T2-SKUXXX-8</x:t>
  </x:si>
  <x:si>
    <x:t xml:space="preserve">IMG-S2-T1-08-STAND</x:t>
  </x:si>
  <x:si>
    <x:t xml:space="preserve">MFR-S2-T1-10-STAND</x:t>
  </x:si>
  <x:si>
    <x:t xml:space="preserve">S1-T2-SKUXXX-9</x:t>
  </x:si>
  <x:si>
    <x:t xml:space="preserve">IMG-S2-T1-10-STAND</x:t>
  </x:si>
  <x:si>
    <x:t xml:space="preserve">MFR-S2-T1-12-STAND</x:t>
  </x:si>
  <x:si>
    <x:t xml:space="preserve">S1-T2-SKUXXX-10</x:t>
  </x:si>
  <x:si>
    <x:t xml:space="preserve">IMG-S2-T1-12-STAND</x:t>
  </x:si>
  <x:si>
    <x:t xml:space="preserve">MFR-S2-T1-14-STAND</x:t>
  </x:si>
  <x:si>
    <x:t xml:space="preserve">S1-T2-SKUXXX-11</x:t>
  </x:si>
  <x:si>
    <x:t xml:space="preserve">IMG-S2-T1-14-STAND</x:t>
  </x:si>
  <x:si>
    <x:t xml:space="preserve">MFR-S2-T1-16-WALL</x:t>
  </x:si>
  <x:si>
    <x:t xml:space="preserve">S1-T2-SKUXXX-12</x:t>
  </x:si>
  <x:si>
    <x:t xml:space="preserve">IMG-S2-T1-16-WALL</x:t>
  </x:si>
  <x:si>
    <x:t xml:space="preserve">MFR-S2-T1-18-WALL</x:t>
  </x:si>
  <x:si>
    <x:t xml:space="preserve">S1-T2-SKUXXX-13</x:t>
  </x:si>
  <x:si>
    <x:t xml:space="preserve">IMG-S2-T1-18-WALL</x:t>
  </x:si>
  <x:si>
    <x:t xml:space="preserve">MFR-S2-T1-20-WALL</x:t>
  </x:si>
  <x:si>
    <x:t xml:space="preserve">S1-T2-SKUXXX-14</x:t>
  </x:si>
  <x:si>
    <x:t xml:space="preserve">IMG-S2-T1-20-WALL</x:t>
  </x:si>
  <x:si>
    <x:t xml:space="preserve">MFR-S2-T1-24-WALL</x:t>
  </x:si>
  <x:si>
    <x:t xml:space="preserve">S1-T2-SKUXXX-15</x:t>
  </x:si>
  <x:si>
    <x:t xml:space="preserve">IMG-S2-T1-24-WALL</x:t>
  </x:si>
  <x:si>
    <x:t xml:space="preserve">MFR-S2-T1-30-WALL</x:t>
  </x:si>
  <x:si>
    <x:t xml:space="preserve">S1-T2-SKUXXX-16</x:t>
  </x:si>
  <x:si>
    <x:t xml:space="preserve">IMG-S2-T1-30-WALL</x:t>
  </x:si>
  <x:si>
    <x:t xml:space="preserve">MFR-S2-T1-32-WALL</x:t>
  </x:si>
  <x:si>
    <x:t xml:space="preserve">S1-T2-SKUXXX-17</x:t>
  </x:si>
  <x:si>
    <x:t xml:space="preserve">IMG-S2-T1-32-WALL</x:t>
  </x:si>
  <x:si>
    <x:t xml:space="preserve">MFR-S2-T1-36-WALL</x:t>
  </x:si>
  <x:si>
    <x:t xml:space="preserve">S1-T2-SKUXXX-18</x:t>
  </x:si>
  <x:si>
    <x:t xml:space="preserve">IMG-S2-T1-36-WALL</x:t>
  </x:si>
  <x:si>
    <x:t xml:space="preserve">MFR-S2-T1-40-WALL</x:t>
  </x:si>
  <x:si>
    <x:t xml:space="preserve">S1-T2-SKUXXX-19</x:t>
  </x:si>
  <x:si>
    <x:t xml:space="preserve">IMG-S2-T1-40-WALL</x:t>
  </x:si>
  <x:si>
    <x:t xml:space="preserve">MFR-S2-T1-48-WALL</x:t>
  </x:si>
  <x:si>
    <x:t xml:space="preserve">S1-T2-SKUXXX-20</x:t>
  </x:si>
  <x:si>
    <x:t xml:space="preserve">IMG-S2-T1-48-WALL</x:t>
  </x:si>
  <x:si>
    <x:t xml:space="preserve">MFR-S2-T2-07-STAND</x:t>
  </x:si>
  <x:si>
    <x:t xml:space="preserve">165</x:t>
  </x:si>
  <x:si>
    <x:t xml:space="preserve">Gold</x:t>
  </x:si>
  <x:si>
    <x:t xml:space="preserve">MFR-S2-T2-08-STAND</x:t>
  </x:si>
  <x:si>
    <x:t xml:space="preserve">IMG-S2-T2-08-STAND</x:t>
  </x:si>
  <x:si>
    <x:t xml:space="preserve">MFR-S2-T2-10-STAND</x:t>
  </x:si>
  <x:si>
    <x:t xml:space="preserve">IMG-S2-T2-10-STAND</x:t>
  </x:si>
  <x:si>
    <x:t xml:space="preserve">MFR-S2-T2-12-STAND</x:t>
  </x:si>
  <x:si>
    <x:t xml:space="preserve">IMG-S2-T2-12-STAND</x:t>
  </x:si>
  <x:si>
    <x:t xml:space="preserve">MFR-S2-T2-14-STAND</x:t>
  </x:si>
  <x:si>
    <x:t xml:space="preserve">IMG-S2-T2-14-STAND</x:t>
  </x:si>
  <x:si>
    <x:t xml:space="preserve">MFR-S2-T2-16-WALL</x:t>
  </x:si>
  <x:si>
    <x:t xml:space="preserve">IMG-S2-T2-16-WALL</x:t>
  </x:si>
  <x:si>
    <x:t xml:space="preserve">MFR-S2-T2-18-WALL</x:t>
  </x:si>
  <x:si>
    <x:t xml:space="preserve">IMG-S2-T2-18-WALL</x:t>
  </x:si>
  <x:si>
    <x:t xml:space="preserve">MFR-S2-T2-20-WALL</x:t>
  </x:si>
  <x:si>
    <x:t xml:space="preserve">IMG-S2-T2-20-WALL</x:t>
  </x:si>
  <x:si>
    <x:t xml:space="preserve">MFR-S2-T2-24-WALL</x:t>
  </x:si>
  <x:si>
    <x:t xml:space="preserve">IMG-S2-T2-24-WALL</x:t>
  </x:si>
  <x:si>
    <x:t xml:space="preserve">MFR-S2-T2-30-WALL</x:t>
  </x:si>
  <x:si>
    <x:t xml:space="preserve">IMG-S2-T2-30-WALL</x:t>
  </x:si>
  <x:si>
    <x:t xml:space="preserve">MFR-S2-T2-32-WALL</x:t>
  </x:si>
  <x:si>
    <x:t xml:space="preserve">IMG-S2-T2-32-WALL</x:t>
  </x:si>
  <x:si>
    <x:t xml:space="preserve">MFR-S2-T2-36-WALL</x:t>
  </x:si>
  <x:si>
    <x:t xml:space="preserve">IMG-S2-T2-36-WALL</x:t>
  </x:si>
  <x:si>
    <x:t xml:space="preserve">MFR-S2-T2-40-WALL</x:t>
  </x:si>
  <x:si>
    <x:t xml:space="preserve">IMG-S2-T2-40-WALL</x:t>
  </x:si>
  <x:si>
    <x:t xml:space="preserve">MFR-S2-T2-48-WALL</x:t>
  </x:si>
  <x:si>
    <x:t xml:space="preserve">IMG-S2-T2-48-WALL</x:t>
  </x:si>
  <x:si>
    <x:t xml:space="preserve">MFR-S2-T3-07-STAND</x:t>
  </x:si>
  <x:si>
    <x:t xml:space="preserve">Silver</x:t>
  </x:si>
  <x:si>
    <x:t xml:space="preserve">MFR-S2-T3-08-STAND</x:t>
  </x:si>
  <x:si>
    <x:t xml:space="preserve">IMG-S2-T3-08-STAND</x:t>
  </x:si>
  <x:si>
    <x:t xml:space="preserve">MFR-S2-T3-10-STAND</x:t>
  </x:si>
  <x:si>
    <x:t xml:space="preserve">IMG-S2-T3-10-STAND</x:t>
  </x:si>
  <x:si>
    <x:t xml:space="preserve">MFR-S2-T3-12-STAND</x:t>
  </x:si>
  <x:si>
    <x:t xml:space="preserve">IMG-S2-T3-12-STAND</x:t>
  </x:si>
  <x:si>
    <x:t xml:space="preserve">MFR-S2-T3-14-STAND</x:t>
  </x:si>
  <x:si>
    <x:t xml:space="preserve">IMG-S2-T3-14-STAND</x:t>
  </x:si>
  <x:si>
    <x:t xml:space="preserve">MFR-S2-T3-16-WALL</x:t>
  </x:si>
  <x:si>
    <x:t xml:space="preserve">IMG-S2-T3-16-WALL</x:t>
  </x:si>
  <x:si>
    <x:t xml:space="preserve">MFR-S2-T3-18-WALL</x:t>
  </x:si>
  <x:si>
    <x:t xml:space="preserve">IMG-S2-T3-18-WALL</x:t>
  </x:si>
  <x:si>
    <x:t xml:space="preserve">MFR-S2-T3-20-WALL</x:t>
  </x:si>
  <x:si>
    <x:t xml:space="preserve">IMG-S2-T3-20-WALL</x:t>
  </x:si>
  <x:si>
    <x:t xml:space="preserve">MFR-S2-T3-24-WALL</x:t>
  </x:si>
  <x:si>
    <x:t xml:space="preserve">IMG-S2-T3-24-WALL</x:t>
  </x:si>
  <x:si>
    <x:t xml:space="preserve">MFR-S2-T3-30-WALL</x:t>
  </x:si>
  <x:si>
    <x:t xml:space="preserve">IMG-S2-T3-30-WALL</x:t>
  </x:si>
  <x:si>
    <x:t xml:space="preserve">MFR-S2-T3-32-WALL</x:t>
  </x:si>
  <x:si>
    <x:t xml:space="preserve">IMG-S2-T3-32-WALL</x:t>
  </x:si>
  <x:si>
    <x:t xml:space="preserve">MFR-S2-T3-36-WALL</x:t>
  </x:si>
  <x:si>
    <x:t xml:space="preserve">IMG-S2-T3-36-WALL</x:t>
  </x:si>
  <x:si>
    <x:t xml:space="preserve">MFR-S2-T3-40-WALL</x:t>
  </x:si>
  <x:si>
    <x:t xml:space="preserve">IMG-S2-T3-40-WALL</x:t>
  </x:si>
  <x:si>
    <x:t xml:space="preserve">MFR-S2-T3-48-WALL</x:t>
  </x:si>
  <x:si>
    <x:t xml:space="preserve">IMG-S2-T3-48-WALL</x:t>
  </x:si>
  <x:si>
    <x:t xml:space="preserve">MFR-S2-T4-07-STAND</x:t>
  </x:si>
  <x:si>
    <x:t xml:space="preserve">Black</x:t>
  </x:si>
  <x:si>
    <x:t xml:space="preserve">MFR-S2-T4-08-STAND</x:t>
  </x:si>
  <x:si>
    <x:t xml:space="preserve">IMG-S2-T4-08-STAND</x:t>
  </x:si>
  <x:si>
    <x:t xml:space="preserve">MFR-S2-T4-10-STAND</x:t>
  </x:si>
  <x:si>
    <x:t xml:space="preserve">IMG-S2-T4-10-STAND</x:t>
  </x:si>
  <x:si>
    <x:t xml:space="preserve">MFR-S2-T4-12-STAND</x:t>
  </x:si>
  <x:si>
    <x:t xml:space="preserve">IMG-S2-T4-12-STAND</x:t>
  </x:si>
  <x:si>
    <x:t xml:space="preserve">MFR-S2-T4-14-STAND</x:t>
  </x:si>
  <x:si>
    <x:t xml:space="preserve">IMG-S2-T4-14-STAND</x:t>
  </x:si>
  <x:si>
    <x:t xml:space="preserve">MFR-S2-T4-16-WALL</x:t>
  </x:si>
  <x:si>
    <x:t xml:space="preserve">IMG-S2-T4-16-WALL</x:t>
  </x:si>
  <x:si>
    <x:t xml:space="preserve">MFR-S2-T4-18-WALL</x:t>
  </x:si>
  <x:si>
    <x:t xml:space="preserve">IMG-S2-T4-18-WALL</x:t>
  </x:si>
  <x:si>
    <x:t xml:space="preserve">MFR-S2-T4-20-WALL</x:t>
  </x:si>
  <x:si>
    <x:t xml:space="preserve">IMG-S2-T4-20-WALL</x:t>
  </x:si>
  <x:si>
    <x:t xml:space="preserve">MFR-S2-T4-24-WALL</x:t>
  </x:si>
  <x:si>
    <x:t xml:space="preserve">IMG-S2-T4-24-WALL</x:t>
  </x:si>
  <x:si>
    <x:t xml:space="preserve">MFR-S2-T4-30-WALL</x:t>
  </x:si>
  <x:si>
    <x:t xml:space="preserve">IMG-S2-T4-30-WALL</x:t>
  </x:si>
  <x:si>
    <x:t xml:space="preserve">MFR-S2-T4-32-WALL</x:t>
  </x:si>
  <x:si>
    <x:t xml:space="preserve">IMG-S2-T4-32-WALL</x:t>
  </x:si>
  <x:si>
    <x:t xml:space="preserve">MFR-S2-T4-36-WALL</x:t>
  </x:si>
  <x:si>
    <x:t xml:space="preserve">IMG-S2-T4-36-WALL</x:t>
  </x:si>
  <x:si>
    <x:t xml:space="preserve">MFR-S2-T4-40-WALL</x:t>
  </x:si>
  <x:si>
    <x:t xml:space="preserve">IMG-S2-T4-40-WALL</x:t>
  </x:si>
  <x:si>
    <x:t xml:space="preserve">MFR-S2-T4-48-WALL</x:t>
  </x:si>
  <x:si>
    <x:t xml:space="preserve">IMG-S2-T4-48-WALL</x:t>
  </x:si>
  <x:si>
    <x:t xml:space="preserve">MFR-S2-T5-07-STAND</x:t>
  </x:si>
  <x:si>
    <x:t xml:space="preserve">MFR-S2-T5-08-STAND</x:t>
  </x:si>
  <x:si>
    <x:t xml:space="preserve">IMG-S2-T5-08-STAND</x:t>
  </x:si>
  <x:si>
    <x:t xml:space="preserve">MFR-S2-T5-10-STAND</x:t>
  </x:si>
  <x:si>
    <x:t xml:space="preserve">IMG-S2-T5-10-STAND</x:t>
  </x:si>
  <x:si>
    <x:t xml:space="preserve">MFR-S2-T5-12-STAND</x:t>
  </x:si>
  <x:si>
    <x:t xml:space="preserve">IMG-S2-T5-12-STAND</x:t>
  </x:si>
  <x:si>
    <x:t xml:space="preserve">MFR-S2-T5-14-STAND</x:t>
  </x:si>
  <x:si>
    <x:t xml:space="preserve">IMG-S2-T5-14-STAND</x:t>
  </x:si>
  <x:si>
    <x:t xml:space="preserve">MFR-S2-T5-16-WALL</x:t>
  </x:si>
  <x:si>
    <x:t xml:space="preserve">IMG-S2-T5-16-WALL</x:t>
  </x:si>
  <x:si>
    <x:t xml:space="preserve">MFR-S2-T5-18-WALL</x:t>
  </x:si>
  <x:si>
    <x:t xml:space="preserve">IMG-S2-T5-18-WALL</x:t>
  </x:si>
  <x:si>
    <x:t xml:space="preserve">MFR-S2-T5-20-WALL</x:t>
  </x:si>
  <x:si>
    <x:t xml:space="preserve">IMG-S2-T5-20-WALL</x:t>
  </x:si>
  <x:si>
    <x:t xml:space="preserve">MFR-S2-T5-24-WALL</x:t>
  </x:si>
  <x:si>
    <x:t xml:space="preserve">IMG-S2-T5-24-WALL</x:t>
  </x:si>
  <x:si>
    <x:t xml:space="preserve">MFR-S2-T5-30-WALL</x:t>
  </x:si>
  <x:si>
    <x:t xml:space="preserve">IMG-S2-T5-30-WALL</x:t>
  </x:si>
  <x:si>
    <x:t xml:space="preserve">MFR-S2-T5-32-WALL</x:t>
  </x:si>
  <x:si>
    <x:t xml:space="preserve">IMG-S2-T5-32-WALL</x:t>
  </x:si>
  <x:si>
    <x:t xml:space="preserve">MFR-S2-T5-36-WALL</x:t>
  </x:si>
  <x:si>
    <x:t xml:space="preserve">IMG-S2-T5-36-WALL</x:t>
  </x:si>
  <x:si>
    <x:t xml:space="preserve">金色边框-直角</x:t>
  </x:si>
  <x:si>
    <x:t xml:space="preserve">MFR-S2-T6-07-STAND</x:t>
  </x:si>
  <x:si>
    <x:t xml:space="preserve">MFR-S2-T6-08-STAND</x:t>
  </x:si>
  <x:si>
    <x:t xml:space="preserve">IMG-S2-T6-08-STAND</x:t>
  </x:si>
  <x:si>
    <x:t xml:space="preserve">MFR-S2-T6-10-STAND</x:t>
  </x:si>
  <x:si>
    <x:t xml:space="preserve">IMG-S2-T6-10-STAND</x:t>
  </x:si>
  <x:si>
    <x:t xml:space="preserve">MFR-S2-T6-12-STAND</x:t>
  </x:si>
  <x:si>
    <x:t xml:space="preserve">IMG-S2-T6-12-STAND</x:t>
  </x:si>
  <x:si>
    <x:t xml:space="preserve">MFR-S2-T6-14-STAND</x:t>
  </x:si>
  <x:si>
    <x:t xml:space="preserve">IMG-S2-T6-14-STAND</x:t>
  </x:si>
  <x:si>
    <x:t xml:space="preserve">MFR-S2-T6-16-WALL</x:t>
  </x:si>
  <x:si>
    <x:t xml:space="preserve">IMG-S2-T6-16-WALL</x:t>
  </x:si>
  <x:si>
    <x:t xml:space="preserve">MFR-S2-T6-18-WALL</x:t>
  </x:si>
  <x:si>
    <x:t xml:space="preserve">IMG-S2-T6-18-WALL</x:t>
  </x:si>
  <x:si>
    <x:t xml:space="preserve">MFR-S2-T6-20-WALL</x:t>
  </x:si>
  <x:si>
    <x:t xml:space="preserve">IMG-S2-T6-20-WALL</x:t>
  </x:si>
  <x:si>
    <x:t xml:space="preserve">MFR-S2-T6-24-WALL</x:t>
  </x:si>
  <x:si>
    <x:t xml:space="preserve">IMG-S2-T6-24-WALL</x:t>
  </x:si>
  <x:si>
    <x:t xml:space="preserve">MFR-S2-T6-30-WALL</x:t>
  </x:si>
  <x:si>
    <x:t xml:space="preserve">IMG-S2-T6-30-WALL</x:t>
  </x:si>
  <x:si>
    <x:t xml:space="preserve">MFR-S2-T6-32-WALL</x:t>
  </x:si>
  <x:si>
    <x:t xml:space="preserve">IMG-S2-T6-32-WALL</x:t>
  </x:si>
  <x:si>
    <x:t xml:space="preserve">MFR-S2-T6-36-WALL</x:t>
  </x:si>
  <x:si>
    <x:t xml:space="preserve">IMG-S2-T6-36-WALL</x:t>
  </x:si>
  <x:si>
    <x:t xml:space="preserve">MFR-S4-T1-24-WALL</x:t>
  </x:si>
  <x:si>
    <x:t xml:space="preserve">Brown</x:t>
  </x:si>
  <x:si>
    <x:t xml:space="preserve">Solid Wood</x:t>
  </x:si>
  <x:si>
    <x:t xml:space="preserve">MFR-S4-T1-30-WALL</x:t>
  </x:si>
  <x:si>
    <x:t xml:space="preserve">IMG-S4-T1-30-WALL</x:t>
  </x:si>
  <x:si>
    <x:t xml:space="preserve">MFR-S4-T1-36-WALL</x:t>
  </x:si>
  <x:si>
    <x:t xml:space="preserve">IMG-S4-T1-36-WALL</x:t>
  </x:si>
  <x:si>
    <x:t xml:space="preserve">MFR-S4-T1-40-WALL</x:t>
  </x:si>
  <x:si>
    <x:t xml:space="preserve">IMG-S4-T1-40-WALL</x:t>
  </x:si>
  <x:si>
    <x:t xml:space="preserve">MFR-S4-T1-48-WALL</x:t>
  </x:si>
  <x:si>
    <x:t xml:space="preserve">IMG-S4-T1-48-WALL</x:t>
  </x:si>
  <x:si>
    <x:t xml:space="preserve">MFR-S4-T2-24-WALL</x:t>
  </x:si>
  <x:si>
    <x:t xml:space="preserve">Grey</x:t>
  </x:si>
  <x:si>
    <x:t xml:space="preserve">MFR-S4-T2-30-WALL</x:t>
  </x:si>
  <x:si>
    <x:t xml:space="preserve">IMG-S4-T2-30-WALL</x:t>
  </x:si>
  <x:si>
    <x:t xml:space="preserve">MFR-S4-T2-36-WALL</x:t>
  </x:si>
  <x:si>
    <x:t xml:space="preserve">IMG-S4-T2-36-WALL</x:t>
  </x:si>
  <x:si>
    <x:t xml:space="preserve">MFR-S4-T2-40-WALL</x:t>
  </x:si>
  <x:si>
    <x:t xml:space="preserve">IMG-S4-T2-40-WALL</x:t>
  </x:si>
  <x:si>
    <x:t xml:space="preserve">MFR-S4-T2-48-WALL</x:t>
  </x:si>
  <x:si>
    <x:t xml:space="preserve">IMG-S4-T2-48-WALL</x:t>
  </x:si>
  <x:si>
    <x:t xml:space="preserve">MFR-S4-T3-24-WALL</x:t>
  </x:si>
  <x:si>
    <x:t xml:space="preserve">Dark Brown</x:t>
  </x:si>
  <x:si>
    <x:t xml:space="preserve">MFR-S4-T3-30-WALL</x:t>
  </x:si>
  <x:si>
    <x:t xml:space="preserve">IMG-S4-T3-30-WALL</x:t>
  </x:si>
  <x:si>
    <x:t xml:space="preserve">MFR-S4-T3-36-WALL</x:t>
  </x:si>
  <x:si>
    <x:t xml:space="preserve">IMG-S4-T3-36-WALL</x:t>
  </x:si>
  <x:si>
    <x:t xml:space="preserve">MFR-S4-T3-40-WALL</x:t>
  </x:si>
  <x:si>
    <x:t xml:space="preserve">IMG-S4-T3-40-WALL</x:t>
  </x:si>
  <x:si>
    <x:t xml:space="preserve">MFR-S4-T3-48-WALL</x:t>
  </x:si>
  <x:si>
    <x:t xml:space="preserve">IMG-S4-T3-48-WALL</x:t>
  </x:si>
  <x:si>
    <x:t xml:space="preserve">MFR-S4-T4-24-WALL</x:t>
  </x:si>
  <x:si>
    <x:t xml:space="preserve">MFR-S4-T4-36-WALL</x:t>
  </x:si>
  <x:si>
    <x:t xml:space="preserve">IMG-S4-T4-36-WALL</x:t>
  </x:si>
  <x:si>
    <x:t xml:space="preserve">MFR-S4-T4-40-WALL</x:t>
  </x:si>
  <x:si>
    <x:t xml:space="preserve">IMG-S4-T4-40-WALL</x:t>
  </x:si>
  <x:si>
    <x:t xml:space="preserve">MFR-S4-T4-48-WALL</x:t>
  </x:si>
  <x:si>
    <x:t xml:space="preserve">IMG-S4-T4-48-WALL</x:t>
  </x:si>
  <x:si>
    <x:t xml:space="preserve">MFR-S4-T5-24-WALL</x:t>
  </x:si>
  <x:si>
    <x:t xml:space="preserve">MFR-S4-T5-30-WALL</x:t>
  </x:si>
  <x:si>
    <x:t xml:space="preserve">IMG-S4-T5-30-WALL</x:t>
  </x:si>
  <x:si>
    <x:t xml:space="preserve">MFR-S4-T5-36-WALL</x:t>
  </x:si>
  <x:si>
    <x:t xml:space="preserve">IMG-S4-T5-36-WALL</x:t>
  </x:si>
  <x:si>
    <x:t xml:space="preserve">MFR-S4-T5-40-WALL</x:t>
  </x:si>
  <x:si>
    <x:t xml:space="preserve">IMG-S4-T5-40-WALL</x:t>
  </x:si>
  <x:si>
    <x:t xml:space="preserve">MFR-S4-T5-48-WALL</x:t>
  </x:si>
  <x:si>
    <x:t xml:space="preserve">IMG-S4-T5-48-WALL</x:t>
  </x:si>
  <x:si>
    <x:t xml:space="preserve">MFR-S4-T6-24-WALL</x:t>
  </x:si>
  <x:si>
    <x:t xml:space="preserve">MFR-S4-T6-30-WALL</x:t>
  </x:si>
  <x:si>
    <x:t xml:space="preserve">IMG-S4-T6-30-WALL</x:t>
  </x:si>
  <x:si>
    <x:t xml:space="preserve">MFR-S4-T6-36-WALL</x:t>
  </x:si>
  <x:si>
    <x:t xml:space="preserve">IMG-S4-T6-36-WALL</x:t>
  </x:si>
  <x:si>
    <x:t xml:space="preserve">MFR-S4-T6-40-WALL</x:t>
  </x:si>
  <x:si>
    <x:t xml:space="preserve">IMG-S4-T6-40-WALL</x:t>
  </x:si>
  <x:si>
    <x:t xml:space="preserve">MFR-S4-T6-48-WALL</x:t>
  </x:si>
  <x:si>
    <x:t xml:space="preserve">IMG-S4-T6-48-WALL</x:t>
  </x:si>
  <x:si>
    <x:t xml:space="preserve">MFR-S4-T7-24-WALL</x:t>
  </x:si>
  <x:si>
    <x:t xml:space="preserve">MFR-S4-T7-30-WALL</x:t>
  </x:si>
  <x:si>
    <x:t xml:space="preserve">IMG-S4-T7-30-WALL</x:t>
  </x:si>
  <x:si>
    <x:t xml:space="preserve">MFR-S4-T7-36-WALL</x:t>
  </x:si>
  <x:si>
    <x:t xml:space="preserve">IMG-S4-T7-36-WALL</x:t>
  </x:si>
  <x:si>
    <x:t xml:space="preserve">MFR-S4-T7-40-WALL</x:t>
  </x:si>
  <x:si>
    <x:t xml:space="preserve">IMG-S4-T7-40-WALL</x:t>
  </x:si>
  <x:si>
    <x:t xml:space="preserve">MFR-S4-T7-48-WALL</x:t>
  </x:si>
  <x:si>
    <x:t xml:space="preserve">IMG-S4-T7-48-WALL</x:t>
  </x:si>
  <x:si>
    <x:t xml:space="preserve">MFR-S4-T8-24-WALL</x:t>
  </x:si>
  <x:si>
    <x:t xml:space="preserve">MFR-S4-T8-30-WALL</x:t>
  </x:si>
  <x:si>
    <x:t xml:space="preserve">IMG-S4-T8-30-WALL</x:t>
  </x:si>
  <x:si>
    <x:t xml:space="preserve">MFR-S4-T8-36-WALL</x:t>
  </x:si>
  <x:si>
    <x:t xml:space="preserve">IMG-S4-T8-36-WALL</x:t>
  </x:si>
  <x:si>
    <x:t xml:space="preserve">MFR-S4-T8-40-WALL</x:t>
  </x:si>
  <x:si>
    <x:t xml:space="preserve">IMG-S4-T8-40-WALL</x:t>
  </x:si>
  <x:si>
    <x:t xml:space="preserve">MFR-S4-T8-48-WALL</x:t>
  </x:si>
  <x:si>
    <x:t xml:space="preserve">IMG-S4-T8-48-WALL</x:t>
  </x:si>
  <x:si>
    <x:t xml:space="preserve">MFR-S4-T9-24-WALL</x:t>
  </x:si>
  <x:si>
    <x:t xml:space="preserve">MFR-S4-T9-30-WALL</x:t>
  </x:si>
  <x:si>
    <x:t xml:space="preserve">IMG-S4-T9-30-WALL</x:t>
  </x:si>
  <x:si>
    <x:t xml:space="preserve">MFR-S4-T9-36-WALL</x:t>
  </x:si>
  <x:si>
    <x:t xml:space="preserve">IMG-S4-T9-36-WALL</x:t>
  </x:si>
  <x:si>
    <x:t xml:space="preserve">MFR-S4-T9-40-WALL</x:t>
  </x:si>
  <x:si>
    <x:t xml:space="preserve">IMG-S4-T9-40-WALL</x:t>
  </x:si>
  <x:si>
    <x:t xml:space="preserve">MFR-S4-T9-48-WALL</x:t>
  </x:si>
  <x:si>
    <x:t xml:space="preserve">IMG-S4-T9-48-WALL</x:t>
  </x:si>
  <x:si>
    <x:t xml:space="preserve">MFR-S4-T10-24-WALL</x:t>
  </x:si>
  <x:si>
    <x:t xml:space="preserve">MFR-S4-T10-30-WALL</x:t>
  </x:si>
  <x:si>
    <x:t xml:space="preserve">IMG-S4-T10-30-WALL</x:t>
  </x:si>
  <x:si>
    <x:t xml:space="preserve">MFR-S4-T10-36-WALL</x:t>
  </x:si>
  <x:si>
    <x:t xml:space="preserve">IMG-S4-T10-36-WALL</x:t>
  </x:si>
  <x:si>
    <x:t xml:space="preserve">MFR-S4-T10-40-WALL</x:t>
  </x:si>
  <x:si>
    <x:t xml:space="preserve">IMG-S4-T10-40-WALL</x:t>
  </x:si>
  <x:si>
    <x:t xml:space="preserve">MFR-S4-T10-48-WALL</x:t>
  </x:si>
  <x:si>
    <x:t xml:space="preserve">IMG-S4-T10-48-WALL</x:t>
  </x:si>
  <x:si>
    <x:t xml:space="preserve">MFR-S4-T11-24-WALL</x:t>
  </x:si>
  <x:si>
    <x:t xml:space="preserve">MFR-S4-T11-30-WALL</x:t>
  </x:si>
  <x:si>
    <x:t xml:space="preserve">IMG-S4-T11-30-WALL</x:t>
  </x:si>
  <x:si>
    <x:t xml:space="preserve">MFR-S4-T11-36-WALL</x:t>
  </x:si>
  <x:si>
    <x:t xml:space="preserve">IMG-S4-T11-36-WALL</x:t>
  </x:si>
  <x:si>
    <x:t xml:space="preserve">MFR-S4-T11-40-WALL</x:t>
  </x:si>
  <x:si>
    <x:t xml:space="preserve">IMG-S4-T11-40-WALL</x:t>
  </x:si>
  <x:si>
    <x:t xml:space="preserve">MFR-S4-T11-48-WALL</x:t>
  </x:si>
  <x:si>
    <x:t xml:space="preserve">IMG-S4-T11-48-WALL</x:t>
  </x:si>
  <x:si>
    <x:t xml:space="preserve">MFR-S4-T12-24-WALL</x:t>
  </x:si>
  <x:si>
    <x:t xml:space="preserve">MFR-S4-T12-30-WALL</x:t>
  </x:si>
  <x:si>
    <x:t xml:space="preserve">IMG-S4-T12-30-WALL</x:t>
  </x:si>
  <x:si>
    <x:t xml:space="preserve">MFR-S4-T12-36-WALL</x:t>
  </x:si>
  <x:si>
    <x:t xml:space="preserve">IMG-S4-T12-36-WALL</x:t>
  </x:si>
  <x:si>
    <x:t xml:space="preserve">MFR-S4-T12-40-WALL</x:t>
  </x:si>
  <x:si>
    <x:t xml:space="preserve">IMG-S4-T12-40-WALL</x:t>
  </x:si>
  <x:si>
    <x:t xml:space="preserve">MFR-S4-T12-48-WALL</x:t>
  </x:si>
  <x:si>
    <x:t xml:space="preserve">IMG-S4-T12-48-WALL</x:t>
  </x:si>
  <x:si>
    <x:t xml:space="preserve">MFR-S4-T13-24-WALL</x:t>
  </x:si>
  <x:si>
    <x:t xml:space="preserve">MFR-S4-T13-30-WALL</x:t>
  </x:si>
  <x:si>
    <x:t xml:space="preserve">IMG-S4-T13-30-WALL</x:t>
  </x:si>
  <x:si>
    <x:t xml:space="preserve">MFR-S4-T13-36-WALL</x:t>
  </x:si>
  <x:si>
    <x:t xml:space="preserve">IMG-S4-T13-36-WALL</x:t>
  </x:si>
  <x:si>
    <x:t xml:space="preserve">MFR-S4-T13-40-WALL</x:t>
  </x:si>
  <x:si>
    <x:t xml:space="preserve">IMG-S4-T13-40-WALL</x:t>
  </x:si>
  <x:si>
    <x:t xml:space="preserve">MFR-S4-T13-48-WALL</x:t>
  </x:si>
  <x:si>
    <x:t xml:space="preserve">IMG-S4-T13-48-WALL</x:t>
  </x:si>
  <x:si>
    <x:t xml:space="preserve">MFR-S4-T14-24-WALL</x:t>
  </x:si>
  <x:si>
    <x:t xml:space="preserve">MFR-S4-T14-30-WALL</x:t>
  </x:si>
  <x:si>
    <x:t xml:space="preserve">IMG-S4-T14-30-WALL</x:t>
  </x:si>
  <x:si>
    <x:t xml:space="preserve">MFR-S4-T14-36-WALL</x:t>
  </x:si>
  <x:si>
    <x:t xml:space="preserve">IMG-S4-T14-36-WALL</x:t>
  </x:si>
  <x:si>
    <x:t xml:space="preserve">MFR-S4-T14-40-WALL</x:t>
  </x:si>
  <x:si>
    <x:t xml:space="preserve">IMG-S4-T14-40-WALL</x:t>
  </x:si>
  <x:si>
    <x:t xml:space="preserve">MFR-S4-T14-48-WALL</x:t>
  </x:si>
  <x:si>
    <x:t xml:space="preserve">IMG-S4-T14-48-WALL</x:t>
  </x:si>
  <x:si>
    <x:t xml:space="preserve">6"</x:t>
  </x:si>
  <x:si>
    <x:t xml:space="preserve">Not set</x:t>
  </x:si>
  <x:si>
    <x:t xml:space="preserve">MFR-S3-T1-06-NOT SET</x:t>
  </x:si>
  <x:si>
    <x:t xml:space="preserve">IMG-S3-T1-06-NOT SET</x:t>
  </x:si>
  <x:si>
    <x:t xml:space="preserve">MFR-S3-T1-07-NOT SET</x:t>
  </x:si>
  <x:si>
    <x:t xml:space="preserve">IMG-S3-T1-07-NOT SET</x:t>
  </x:si>
  <x:si>
    <x:t xml:space="preserve">MFR-S3-T1-08-NOT SET</x:t>
  </x:si>
  <x:si>
    <x:t xml:space="preserve">IMG-S3-T1-08-NOT SET</x:t>
  </x:si>
  <x:si>
    <x:t xml:space="preserve">MFR-S3-T1-10-NOT SET</x:t>
  </x:si>
  <x:si>
    <x:t xml:space="preserve">IMG-S3-T1-10-NOT SET</x:t>
  </x:si>
  <x:si>
    <x:t xml:space="preserve">A4</x:t>
  </x:si>
  <x:si>
    <x:t xml:space="preserve">MFR-S3-T1-04-NOT SET</x:t>
  </x:si>
  <x:si>
    <x:t xml:space="preserve">IMG-S3-T1-04-NOT SET</x:t>
  </x:si>
  <x:si>
    <x:t xml:space="preserve">A3</x:t>
  </x:si>
  <x:si>
    <x:t xml:space="preserve">MFR-S3-T1-03-NOT SET</x:t>
  </x:si>
  <x:si>
    <x:t xml:space="preserve">IMG-S3-T1-03-NOT SET</x:t>
  </x:si>
  <x:si>
    <x:t xml:space="preserve">MFR-S3-T2-06-NOT SET</x:t>
  </x:si>
  <x:si>
    <x:t xml:space="preserve">IMG-S3-T2-06-NOT SET</x:t>
  </x:si>
  <x:si>
    <x:t xml:space="preserve">MFR-S3-T2-07-NOT SET</x:t>
  </x:si>
  <x:si>
    <x:t xml:space="preserve">IMG-S3-T2-07-NOT SET</x:t>
  </x:si>
  <x:si>
    <x:t xml:space="preserve">MFR-S3-T2-08-NOT SET</x:t>
  </x:si>
  <x:si>
    <x:t xml:space="preserve">IMG-S3-T2-08-NOT SET</x:t>
  </x:si>
  <x:si>
    <x:t xml:space="preserve">MFR-S3-T2-10-NOT SET</x:t>
  </x:si>
  <x:si>
    <x:t xml:space="preserve">IMG-S3-T2-10-NOT SET</x:t>
  </x:si>
  <x:si>
    <x:t xml:space="preserve">MFR-S3-T2-04-NOT SET</x:t>
  </x:si>
  <x:si>
    <x:t xml:space="preserve">IMG-S3-T2-04-NOT SET</x:t>
  </x:si>
  <x:si>
    <x:t xml:space="preserve">MFR-S3-T2-03-NOT SET</x:t>
  </x:si>
  <x:si>
    <x:t xml:space="preserve">IMG-S3-T2-03-NOT SET</x:t>
  </x:si>
  <x:si>
    <x:t xml:space="preserve">MFR-S3-T3-06-NOT SET</x:t>
  </x:si>
  <x:si>
    <x:t xml:space="preserve">IMG-S3-T3-06-NOT SET</x:t>
  </x:si>
  <x:si>
    <x:t xml:space="preserve">MFR-S3-T3-07-NOT SET</x:t>
  </x:si>
  <x:si>
    <x:t xml:space="preserve">IMG-S3-T3-07-NOT SET</x:t>
  </x:si>
  <x:si>
    <x:t xml:space="preserve">MFR-S3-T3-08-NOT SET</x:t>
  </x:si>
  <x:si>
    <x:t xml:space="preserve">IMG-S3-T3-08-NOT SET</x:t>
  </x:si>
  <x:si>
    <x:t xml:space="preserve">MFR-S3-T3-10-NOT SET</x:t>
  </x:si>
  <x:si>
    <x:t xml:space="preserve">IMG-S3-T3-10-NOT SET</x:t>
  </x:si>
  <x:si>
    <x:t xml:space="preserve">MFR-S3-T3-04-NOT SET</x:t>
  </x:si>
  <x:si>
    <x:t xml:space="preserve">IMG-S3-T3-04-NOT SET</x:t>
  </x:si>
  <x:si>
    <x:t xml:space="preserve">MFR-S3-T3-03-NOT SET</x:t>
  </x:si>
  <x:si>
    <x:t xml:space="preserve">IMG-S3-T3-03-NOT SET</x:t>
  </x:si>
  <x:si>
    <x:t xml:space="preserve">MFR-S3-T4-06-NOT SET</x:t>
  </x:si>
  <x:si>
    <x:t xml:space="preserve">IMG-S3-T4-06-NOT SET</x:t>
  </x:si>
  <x:si>
    <x:t xml:space="preserve">MFR-S3-T4-07-NOT SET</x:t>
  </x:si>
  <x:si>
    <x:t xml:space="preserve">IMG-S3-T4-07-NOT SET</x:t>
  </x:si>
  <x:si>
    <x:t xml:space="preserve">MFR-S3-T4-08-NOT SET</x:t>
  </x:si>
  <x:si>
    <x:t xml:space="preserve">IMG-S3-T4-08-NOT SET</x:t>
  </x:si>
  <x:si>
    <x:t xml:space="preserve">MFR-S3-T4-10-NOT SET</x:t>
  </x:si>
  <x:si>
    <x:t xml:space="preserve">IMG-S3-T4-10-NOT SET</x:t>
  </x:si>
  <x:si>
    <x:t xml:space="preserve">MFR-S3-T4-04-NOT SET</x:t>
  </x:si>
  <x:si>
    <x:t xml:space="preserve">IMG-S3-T4-04-NOT SET</x:t>
  </x:si>
  <x:si>
    <x:t xml:space="preserve">MFR-S3-T4-03-NOT SET</x:t>
  </x:si>
  <x:si>
    <x:t xml:space="preserve">IMG-S3-T4-03-NOT SET</x:t>
  </x:si>
  <x:si>
    <x:t xml:space="preserve">MFR-S3-T5-06-NOT SET</x:t>
  </x:si>
  <x:si>
    <x:t xml:space="preserve">IMG-S3-T5-06-NOT SET</x:t>
  </x:si>
  <x:si>
    <x:t xml:space="preserve">MFR-S3-T5-07-NOT SET</x:t>
  </x:si>
  <x:si>
    <x:t xml:space="preserve">IMG-S3-T5-07-NOT SET</x:t>
  </x:si>
  <x:si>
    <x:t xml:space="preserve">MFR-S3-T5-08-NOT SET</x:t>
  </x:si>
  <x:si>
    <x:t xml:space="preserve">IMG-S3-T5-08-NOT SET</x:t>
  </x:si>
  <x:si>
    <x:t xml:space="preserve">MFR-S3-T5-10-NOT SET</x:t>
  </x:si>
  <x:si>
    <x:t xml:space="preserve">IMG-S3-T5-10-NOT SET</x:t>
  </x:si>
  <x:si>
    <x:t xml:space="preserve">MFR-S3-T5-04-NOT SET</x:t>
  </x:si>
  <x:si>
    <x:t xml:space="preserve">IMG-S3-T5-04-NOT SET</x:t>
  </x:si>
  <x:si>
    <x:t xml:space="preserve">MFR-S3-T5-03-NOT SET</x:t>
  </x:si>
  <x:si>
    <x:t xml:space="preserve">IMG-S3-T5-03-NOT SET</x:t>
  </x:si>
  <x:si>
    <x:t xml:space="preserve">Images</x:t>
  </x:si>
  <x:si>
    <x:t xml:space="preserve">Each product size has a unique Image SKU. Use a matching duplicated image file when sizes share the same visual.</x:t>
  </x:si>
  <x:si>
    <x:t xml:space="preserve">Relative Image Path</x:t>
  </x:si>
  <x:si>
    <x:t xml:space="preserve">Primary Image</x:t>
  </x:si>
  <x:si>
    <x:t xml:space="preserve">Added</x:t>
  </x:si>
  <x:si>
    <x:t xml:space="preserve">Price Rules</x:t>
  </x:si>
  <x:si>
    <x:t xml:space="preserve">Edit the yellow multiplier cells to update selling prices throughout the Products sheet.</x:t>
  </x:si>
  <x:si>
    <x:t xml:space="preserve">Multiplier</x:t>
  </x:si>
  <x:si>
    <x:t xml:space="preserve">Calculation</x:t>
  </x:si>
  <x:si>
    <x:t xml:space="preserve">&lt; 10</x:t>
  </x:si>
  <x:si>
    <x:t xml:space="preserve">Selling Price = ROUND(Cost SGD × 5, 0)</x:t>
  </x:si>
  <x:si>
    <x:t xml:space="preserve">10 to 50</x:t>
  </x:si>
  <x:si>
    <x:t xml:space="preserve">Selling Price = ROUND(Cost SGD × 4, 0)</x:t>
  </x:si>
  <x:si>
    <x:t xml:space="preserve">&gt; 50</x:t>
  </x:si>
  <x:si>
    <x:t xml:space="preserve">Selling Price = ROUND(Cost SGD × 3.5, 0)</x:t>
  </x:si>
</x:sst>
</file>

<file path=xl/styles.xml><?xml version="1.0" encoding="utf-8"?>
<x:styleSheet xmlns:x="http://schemas.openxmlformats.org/spreadsheetml/2006/main">
  <x:numFmts count="4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</x:numFmts>
  <x:fonts count="25">
    <x:font>
      <x:sz val="12"/>
      <x:color theme="1"/>
      <x:name val="Calibri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4"/>
      <x:color rgb="FF2D1B5F"/>
      <x:name val="Arial"/>
    </x:font>
    <x:font>
      <x:i/>
      <x:sz val="10"/>
      <x:color rgb="FF6A647C"/>
      <x:name val="Arial"/>
    </x:font>
    <x:font>
      <x:b/>
      <x:sz val="10"/>
      <x:color rgb="FFFFFFFF"/>
      <x:name val="Arial"/>
    </x:font>
    <x:font>
      <x:sz val="10"/>
      <x:color rgb="FF2D1B5F"/>
      <x:name val="Arial"/>
    </x:font>
  </x:fonts>
  <x:fills count="35">
    <x:fill>
      <x:patternFill patternType="none"/>
    </x:fill>
    <x:fill>
      <x:patternFill patternType="gray125"/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2D1B5F"/>
      </x:patternFill>
    </x:fill>
    <x:fill>
      <x:patternFill patternType="solid">
        <x:fgColor rgb="FF2D1B5F"/>
      </x:patternFill>
    </x:fill>
  </x:fills>
  <x:borders count="10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E5DFF1"/>
      </x:left>
      <x:right style="thin">
        <x:color rgb="FFE5DFF1"/>
      </x:right>
      <x:top style="thin">
        <x:color rgb="FFE5DFF1"/>
      </x:top>
      <x:bottom style="thin">
        <x:color rgb="FFE5DFF1"/>
      </x:bottom>
    </x:border>
  </x:borders>
  <x:cellStyleXfs count="49">
    <x:xf numFmtId="0" fontId="0" fillId="0" borderId="0"/>
    <x:xf numFmtId="176" fontId="1" fillId="0" borderId="0" applyFont="0" applyFill="0" applyBorder="0" applyAlignment="0" applyProtection="0">
      <x:alignment vertical="center"/>
    </x:xf>
    <x:xf numFmtId="44" fontId="1" fillId="0" borderId="0" applyFont="0" applyFill="0" applyBorder="0" applyAlignment="0" applyProtection="0">
      <x:alignment vertical="center"/>
    </x:xf>
    <x:xf numFmtId="9" fontId="1" fillId="0" borderId="0" applyFont="0" applyFill="0" applyBorder="0" applyAlignment="0" applyProtection="0">
      <x:alignment vertical="center"/>
    </x:xf>
    <x:xf numFmtId="177" fontId="1" fillId="0" borderId="0" applyFont="0" applyFill="0" applyBorder="0" applyAlignment="0" applyProtection="0">
      <x:alignment vertical="center"/>
    </x:xf>
    <x:xf numFmtId="42" fontId="1" fillId="0" borderId="0" applyFont="0" applyFill="0" applyBorder="0" applyAlignment="0" applyProtection="0">
      <x:alignment vertical="center"/>
    </x:xf>
    <x:xf numFmtId="0" fontId="2" fillId="0" borderId="0" applyNumberFormat="0" applyFill="0" applyBorder="0" applyAlignment="0" applyProtection="0">
      <x:alignment vertical="center"/>
    </x:xf>
    <x:xf numFmtId="0" fontId="3" fillId="0" borderId="0" applyNumberFormat="0" applyFill="0" applyBorder="0" applyAlignment="0" applyProtection="0">
      <x:alignment vertical="center"/>
    </x:xf>
    <x:xf numFmtId="0" fontId="1" fillId="2" borderId="1" applyNumberFormat="0" applyFont="0" applyAlignment="0" applyProtection="0">
      <x:alignment vertical="center"/>
    </x:xf>
    <x:xf numFmtId="0" fontId="4" fillId="0" borderId="0" applyNumberFormat="0" applyFill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2" applyNumberFormat="0" applyFill="0" applyAlignment="0" applyProtection="0">
      <x:alignment vertical="center"/>
    </x:xf>
    <x:xf numFmtId="0" fontId="8" fillId="0" borderId="2" applyNumberFormat="0" applyFill="0" applyAlignment="0" applyProtection="0">
      <x:alignment vertical="center"/>
    </x:xf>
    <x:xf numFmtId="0" fontId="9" fillId="0" borderId="3" applyNumberFormat="0" applyFill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3" borderId="4" applyNumberFormat="0" applyAlignment="0" applyProtection="0">
      <x:alignment vertical="center"/>
    </x:xf>
    <x:xf numFmtId="0" fontId="11" fillId="4" borderId="5" applyNumberFormat="0" applyAlignment="0" applyProtection="0">
      <x:alignment vertical="center"/>
    </x:xf>
    <x:xf numFmtId="0" fontId="12" fillId="4" borderId="4" applyNumberFormat="0" applyAlignment="0" applyProtection="0">
      <x:alignment vertical="center"/>
    </x:xf>
    <x:xf numFmtId="0" fontId="13" fillId="5" borderId="6" applyNumberFormat="0" applyAlignment="0" applyProtection="0">
      <x:alignment vertical="center"/>
    </x:xf>
    <x:xf numFmtId="0" fontId="14" fillId="0" borderId="7" applyNumberFormat="0" applyFill="0" applyAlignment="0" applyProtection="0">
      <x:alignment vertical="center"/>
    </x:xf>
    <x:xf numFmtId="0" fontId="15" fillId="0" borderId="8" applyNumberFormat="0" applyFill="0" applyAlignment="0" applyProtection="0">
      <x:alignment vertical="center"/>
    </x:xf>
    <x:xf numFmtId="0" fontId="16" fillId="6" borderId="0" applyNumberFormat="0" applyBorder="0" applyAlignment="0" applyProtection="0">
      <x:alignment vertical="center"/>
    </x:xf>
    <x:xf numFmtId="0" fontId="17" fillId="7" borderId="0" applyNumberFormat="0" applyBorder="0" applyAlignment="0" applyProtection="0">
      <x:alignment vertical="center"/>
    </x:xf>
    <x:xf numFmtId="0" fontId="18" fillId="8" borderId="0" applyNumberFormat="0" applyBorder="0" applyAlignment="0" applyProtection="0">
      <x:alignment vertical="center"/>
    </x:xf>
    <x:xf numFmtId="0" fontId="19" fillId="9" borderId="0" applyNumberFormat="0" applyBorder="0" applyAlignment="0" applyProtection="0">
      <x:alignment vertical="center"/>
    </x:xf>
    <x:xf numFmtId="0" fontId="20" fillId="10" borderId="0" applyNumberFormat="0" applyBorder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19" fillId="12" borderId="0" applyNumberFormat="0" applyBorder="0" applyAlignment="0" applyProtection="0">
      <x:alignment vertical="center"/>
    </x:xf>
    <x:xf numFmtId="0" fontId="19" fillId="13" borderId="0" applyNumberFormat="0" applyBorder="0" applyAlignment="0" applyProtection="0">
      <x:alignment vertical="center"/>
    </x:xf>
    <x:xf numFmtId="0" fontId="20" fillId="14" borderId="0" applyNumberFormat="0" applyBorder="0" applyAlignment="0" applyProtection="0">
      <x:alignment vertical="center"/>
    </x:xf>
    <x:xf numFmtId="0" fontId="20" fillId="15" borderId="0" applyNumberFormat="0" applyBorder="0" applyAlignment="0" applyProtection="0">
      <x:alignment vertical="center"/>
    </x:xf>
    <x:xf numFmtId="0" fontId="19" fillId="16" borderId="0" applyNumberFormat="0" applyBorder="0" applyAlignment="0" applyProtection="0">
      <x:alignment vertical="center"/>
    </x:xf>
    <x:xf numFmtId="0" fontId="19" fillId="17" borderId="0" applyNumberFormat="0" applyBorder="0" applyAlignment="0" applyProtection="0">
      <x:alignment vertical="center"/>
    </x:xf>
    <x:xf numFmtId="0" fontId="20" fillId="18" borderId="0" applyNumberFormat="0" applyBorder="0" applyAlignment="0" applyProtection="0">
      <x:alignment vertical="center"/>
    </x:xf>
    <x:xf numFmtId="0" fontId="20" fillId="19" borderId="0" applyNumberFormat="0" applyBorder="0" applyAlignment="0" applyProtection="0">
      <x:alignment vertical="center"/>
    </x:xf>
    <x:xf numFmtId="0" fontId="19" fillId="20" borderId="0" applyNumberFormat="0" applyBorder="0" applyAlignment="0" applyProtection="0">
      <x:alignment vertical="center"/>
    </x:xf>
    <x:xf numFmtId="0" fontId="19" fillId="21" borderId="0" applyNumberFormat="0" applyBorder="0" applyAlignment="0" applyProtection="0">
      <x:alignment vertical="center"/>
    </x:xf>
    <x:xf numFmtId="0" fontId="20" fillId="22" borderId="0" applyNumberFormat="0" applyBorder="0" applyAlignment="0" applyProtection="0">
      <x:alignment vertical="center"/>
    </x:xf>
    <x:xf numFmtId="0" fontId="20" fillId="23" borderId="0" applyNumberFormat="0" applyBorder="0" applyAlignment="0" applyProtection="0">
      <x:alignment vertical="center"/>
    </x:xf>
    <x:xf numFmtId="0" fontId="19" fillId="24" borderId="0" applyNumberFormat="0" applyBorder="0" applyAlignment="0" applyProtection="0">
      <x:alignment vertical="center"/>
    </x:xf>
    <x:xf numFmtId="0" fontId="19" fillId="25" borderId="0" applyNumberFormat="0" applyBorder="0" applyAlignment="0" applyProtection="0">
      <x:alignment vertical="center"/>
    </x:xf>
    <x:xf numFmtId="0" fontId="20" fillId="26" borderId="0" applyNumberFormat="0" applyBorder="0" applyAlignment="0" applyProtection="0">
      <x:alignment vertical="center"/>
    </x:xf>
    <x:xf numFmtId="0" fontId="20" fillId="27" borderId="0" applyNumberFormat="0" applyBorder="0" applyAlignment="0" applyProtection="0">
      <x:alignment vertical="center"/>
    </x:xf>
    <x:xf numFmtId="0" fontId="19" fillId="28" borderId="0" applyNumberFormat="0" applyBorder="0" applyAlignment="0" applyProtection="0">
      <x:alignment vertical="center"/>
    </x:xf>
    <x:xf numFmtId="0" fontId="19" fillId="29" borderId="0" applyNumberFormat="0" applyBorder="0" applyAlignment="0" applyProtection="0">
      <x:alignment vertical="center"/>
    </x:xf>
    <x:xf numFmtId="0" fontId="20" fillId="30" borderId="0" applyNumberFormat="0" applyBorder="0" applyAlignment="0" applyProtection="0">
      <x:alignment vertical="center"/>
    </x:xf>
    <x:xf numFmtId="0" fontId="20" fillId="31" borderId="0" applyNumberFormat="0" applyBorder="0" applyAlignment="0" applyProtection="0">
      <x:alignment vertical="center"/>
    </x:xf>
    <x:xf numFmtId="0" fontId="19" fillId="32" borderId="0" applyNumberFormat="0" applyBorder="0" applyAlignment="0" applyProtection="0">
      <x:alignment vertical="center"/>
    </x:xf>
  </x:cellStyleXfs>
  <x:cellXfs count="22">
    <x:xf numFmtId="0" fontId="0" fillId="0" borderId="0" xfId="0" applyNumberFormat="1"/>
    <x:xf numFmtId="0" fontId="21" fillId="0" borderId="0" xfId="0" applyNumberFormat="1" applyFont="1" applyFill="1" applyBorder="1"/>
    <x:xf numFmtId="0" fontId="22" fillId="0" borderId="0" xfId="0" applyNumberFormat="1" applyFont="1" applyFill="1" applyBorder="1"/>
    <x:xf numFmtId="0" fontId="0" fillId="33" borderId="0" xfId="0" applyNumberFormat="1" applyFont="1" applyFill="1" applyBorder="1"/>
    <x:xf numFmtId="0" fontId="23" fillId="33" borderId="0" xfId="0" applyNumberFormat="1" applyFont="1" applyFill="1" applyBorder="1"/>
    <x:xf numFmtId="0" fontId="23" fillId="33" borderId="0" xfId="0" applyNumberFormat="1" applyFont="1" applyFill="1" applyBorder="1" applyAlignment="1">
      <x:alignment horizontal="center"/>
    </x:xf>
    <x:xf numFmtId="0" fontId="23" fillId="33" borderId="0" xfId="0" applyNumberFormat="1" applyFont="1" applyFill="1" applyBorder="1" applyAlignment="1">
      <x:alignment horizontal="center" vertical="center"/>
    </x:xf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vertical="center"/>
    </x:xf>
    <x:xf numFmtId="0" fontId="23" fillId="33" borderId="9" xfId="0" applyNumberFormat="1" applyFont="1" applyFill="1" applyBorder="1" applyAlignment="1">
      <x:alignment horizontal="center" vertical="center"/>
    </x:xf>
    <x:xf numFmtId="0" fontId="24" fillId="0" borderId="9" xfId="0" applyNumberFormat="1" applyFont="1" applyFill="1" applyBorder="1" applyAlignment="1">
      <x:alignment vertical="center"/>
    </x:xf>
    <x:xf numFmtId="0" fontId="21" fillId="0" borderId="0" xfId="0" applyNumberFormat="1" applyFont="1" applyFill="1" applyBorder="1" applyAlignment="1">
      <x:alignment wrapText="0"/>
    </x:xf>
    <x:xf numFmtId="0" fontId="0" fillId="0" borderId="0" xfId="0" applyNumberFormat="1" applyFont="1" applyFill="1" applyBorder="1" applyAlignment="1">
      <x:alignment wrapText="0"/>
    </x:xf>
    <x:xf numFmtId="0" fontId="22" fillId="0" borderId="0" xfId="0" applyNumberFormat="1" applyFont="1" applyFill="1" applyBorder="1" applyAlignment="1">
      <x:alignment wrapText="0"/>
    </x:xf>
    <x:xf numFmtId="0" fontId="23" fillId="33" borderId="9" xfId="0" applyNumberFormat="1" applyFont="1" applyFill="1" applyBorder="1" applyAlignment="1">
      <x:alignment horizontal="center" vertical="center" wrapText="0"/>
    </x:xf>
    <x:xf numFmtId="0" fontId="24" fillId="0" borderId="9" xfId="0" applyNumberFormat="1" applyFont="1" applyFill="1" applyBorder="1" applyAlignment="1">
      <x:alignment vertical="center" wrapText="0"/>
    </x:xf>
    <x:xf numFmtId="0" fontId="0" fillId="34" borderId="0" xfId="0" applyNumberFormat="1" applyFont="1" applyFill="1" applyBorder="1"/>
    <x:xf numFmtId="0" fontId="23" fillId="34" borderId="0" xfId="0" applyNumberFormat="1" applyFont="1" applyFill="1" applyBorder="1"/>
    <x:xf numFmtId="0" fontId="23" fillId="34" borderId="0" xfId="0" applyNumberFormat="1" applyFont="1" applyFill="1" applyBorder="1" applyAlignment="1">
      <x:alignment horizontal="center"/>
    </x:xf>
    <x:xf numFmtId="0" fontId="23" fillId="34" borderId="0" xfId="0" applyNumberFormat="1" applyFont="1" applyFill="1" applyBorder="1" applyAlignment="1">
      <x:alignment horizontal="center" vertical="center"/>
    </x:xf>
    <x:xf numFmtId="0" fontId="23" fillId="34" borderId="9" xfId="0" applyNumberFormat="1" applyFont="1" applyFill="1" applyBorder="1" applyAlignment="1">
      <x:alignment horizontal="center" vertical="center"/>
    </x:xf>
    <x:xf numFmtId="0" fontId="23" fillId="34" borderId="9" xfId="0" applyNumberFormat="1" applyFont="1" applyFill="1" applyBorder="1" applyAlignment="1">
      <x:alignment horizontal="center" vertical="center" wrapText="0"/>
    </x:xf>
  </x:cellXfs>
  <x:cellStyles count="49">
    <x:cellStyle name="Normal" xfId="0"/>
    <x:cellStyle name="Comma" xfId="1"/>
    <x:cellStyle name="Currency" xfId="2"/>
    <x:cellStyle name="Percent" xfId="3"/>
    <x:cellStyle name="Comma [0]" xfId="4"/>
    <x:cellStyle name="Currency [0]" xfId="5"/>
    <x:cellStyle name="Link" xfId="6"/>
    <x:cellStyle name="Followed Hyperlink" xfId="7"/>
    <x:cellStyle name="Note" xfId="8"/>
    <x:cellStyle name="Warning Text" xfId="9"/>
    <x:cellStyle name="Title" xfId="10"/>
    <x:cellStyle name="Explanatory Text" xfId="11"/>
    <x:cellStyle name="Heading 1" xfId="12"/>
    <x:cellStyle name="Heading 2" xfId="13"/>
    <x:cellStyle name="Heading 3" xfId="14"/>
    <x:cellStyle name="Heading 4" xfId="15"/>
    <x:cellStyle name="Input" xfId="16"/>
    <x:cellStyle name="Output" xfId="17"/>
    <x:cellStyle name="Calculation" xfId="18"/>
    <x:cellStyle name="Check Cell" xfId="19"/>
    <x:cellStyle name="Linked Cell" xfId="20"/>
    <x:cellStyle name="Total" xfId="21"/>
    <x:cellStyle name="Good" xfId="22"/>
    <x:cellStyle name="Bad" xfId="23"/>
    <x:cellStyle name="Neutral" xfId="24"/>
    <x:cellStyle name="Accent1" xfId="25"/>
    <x:cellStyle name="20% - Accent1" xfId="26"/>
    <x:cellStyle name="40% - Accent1" xfId="27"/>
    <x:cellStyle name="60% - Accent1" xfId="28"/>
    <x:cellStyle name="Accent2" xfId="29"/>
    <x:cellStyle name="20% - Accent2" xfId="30"/>
    <x:cellStyle name="40% - Accent2" xfId="31"/>
    <x:cellStyle name="60% - Accent2" xfId="32"/>
    <x:cellStyle name="Accent3" xfId="33"/>
    <x:cellStyle name="20% - Accent3" xfId="34"/>
    <x:cellStyle name="40% - Accent3" xfId="35"/>
    <x:cellStyle name="60% - Accent3" xfId="36"/>
    <x:cellStyle name="Accent4" xfId="37"/>
    <x:cellStyle name="20% - Accent4" xfId="38"/>
    <x:cellStyle name="40% - Accent4" xfId="39"/>
    <x:cellStyle name="60% - Accent4" xfId="40"/>
    <x:cellStyle name="Accent5" xfId="41"/>
    <x:cellStyle name="20% - Accent5" xfId="42"/>
    <x:cellStyle name="40% - Accent5" xfId="43"/>
    <x:cellStyle name="60% - Accent5" xfId="44"/>
    <x:cellStyle name="Accent6" xfId="45"/>
    <x:cellStyle name="20% - Accent6" xfId="46"/>
    <x:cellStyle name="40% - Accent6" xfId="47"/>
    <x:cellStyle name="60% - Accent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ef90495d874a7a" /><Relationship Type="http://schemas.openxmlformats.org/officeDocument/2006/relationships/theme" Target="/xl/theme/theme1.xml" Id="R06a54bd942954988" /><Relationship Type="http://schemas.openxmlformats.org/officeDocument/2006/relationships/sharedStrings" Target="/xl/sharedStrings.xml" Id="R7659da0139294a4d" /><Relationship Type="http://schemas.openxmlformats.org/officeDocument/2006/relationships/worksheet" Target="/xl/worksheets/sheet1.xml" Id="Ra4375283fe474b42" /><Relationship Type="http://schemas.openxmlformats.org/officeDocument/2006/relationships/worksheet" Target="/xl/worksheets/sheet2.xml" Id="R1786f74328014e8d" /><Relationship Type="http://schemas.openxmlformats.org/officeDocument/2006/relationships/worksheet" Target="/xl/worksheets/sheet3.xml" Id="R7861739a97f74b0a" /><Relationship Type="http://schemas.openxmlformats.org/officeDocument/2006/relationships/worksheet" Target="/xl/worksheets/sheet4.xml" Id="R0fa2a96c5905419c" /><Relationship Type="http://schemas.openxmlformats.org/officeDocument/2006/relationships/worksheet" Target="/xl/worksheets/sheet5.xml" Id="R9038a822dd5b47be" /><Relationship Type="http://schemas.openxmlformats.org/officeDocument/2006/relationships/worksheet" Target="/xl/worksheets/sheet6.xml" Id="Rfe53ce566dfb43b2" /><Relationship Type="http://schemas.openxmlformats.org/officeDocument/2006/relationships/worksheet" Target="/xl/worksheets/sheet7.xml" Id="Rbc45d09d8dcc4c4a" /><Relationship Type="http://schemas.openxmlformats.org/officeDocument/2006/relationships/worksheet" Target="/xl/worksheets/sheet8.xml" Id="R2bbc203b099e43cf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7.941176414489746" defaultRowHeight="17.600000381469727"/>
  <x:sheetData>
    <x:row r="1">
      <x:c r="A1" t="s">
        <x:v>0</x:v>
      </x:c>
    </x:row>
    <x:row r="2">
      <x:c r="A2" t="s">
        <x:v>1</x:v>
      </x:c>
    </x:row>
    <x:row r="4">
      <x:c r="A4" t="s">
        <x:v>2</x:v>
      </x:c>
      <x:c r="B4" t="s">
        <x:v>3</x:v>
      </x:c>
    </x:row>
    <x:row r="5">
      <x:c r="A5" t="s">
        <x:v>4</x:v>
      </x:c>
      <x:c r="B5" t="s">
        <x:v>5</x:v>
      </x:c>
    </x:row>
    <x:row r="6">
      <x:c r="A6" t="s">
        <x:v>6</x:v>
      </x:c>
      <x:c r="B6" t="s">
        <x:v>7</x:v>
      </x:c>
    </x:row>
    <x:row r="7">
      <x:c r="A7" t="s">
        <x:v>8</x:v>
      </x:c>
      <x:c r="B7" t="s">
        <x:v>9</x:v>
      </x:c>
    </x:row>
    <x:row r="8">
      <x:c r="A8" t="s">
        <x:v>10</x:v>
      </x:c>
      <x:c r="B8" t="s">
        <x:v>11</x:v>
      </x:c>
    </x:row>
    <x:row r="9">
      <x:c r="A9" t="s">
        <x:v>12</x:v>
      </x:c>
      <x:c r="B9" t="s">
        <x:v>13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7.941176414489746" defaultRowHeight="17.600000381469727"/>
  <x:sheetData>
    <x:row r="1">
      <x:c r="A1" t="s">
        <x:v>14</x:v>
      </x:c>
    </x:row>
    <x:row r="2">
      <x:c r="A2" t="s">
        <x:v>15</x:v>
      </x:c>
    </x:row>
    <x:row r="4">
      <x:c r="A4" t="s">
        <x:v>16</x:v>
      </x:c>
      <x:c r="B4" t="s">
        <x:v>17</x:v>
      </x:c>
      <x:c r="C4" t="s">
        <x:v>18</x:v>
      </x:c>
      <x:c r="D4" t="s">
        <x:v>19</x:v>
      </x:c>
      <x:c r="E4" t="s">
        <x:v>20</x:v>
      </x:c>
    </x:row>
    <x:row r="5">
      <x:c r="A5" t="s">
        <x:v>21</x:v>
      </x:c>
      <x:c r="B5" t="s">
        <x:v>22</x:v>
      </x:c>
      <x:c r="C5" t="s">
        <x:v>23</x:v>
      </x:c>
      <x:c r="D5">
        <x:v>1</x:v>
      </x:c>
      <x:c r="E5" t="s">
        <x:v>24</x:v>
      </x:c>
    </x:row>
    <x:row r="6">
      <x:c r="A6" t="s">
        <x:v>25</x:v>
      </x:c>
      <x:c r="B6" t="s">
        <x:v>26</x:v>
      </x:c>
      <x:c r="C6" t="s">
        <x:v>27</x:v>
      </x:c>
      <x:c r="D6">
        <x:v>2</x:v>
      </x:c>
      <x:c r="E6" t="s">
        <x:v>24</x:v>
      </x:c>
    </x:row>
    <x:row r="7">
      <x:c r="A7" t="s">
        <x:v>28</x:v>
      </x:c>
      <x:c r="B7" t="s">
        <x:v>29</x:v>
      </x:c>
      <x:c r="C7" t="s">
        <x:v>30</x:v>
      </x:c>
      <x:c r="D7">
        <x:v>3</x:v>
      </x:c>
      <x:c r="E7" t="s">
        <x:v>24</x:v>
      </x:c>
    </x:row>
    <x:row r="8">
      <x:c r="A8" t="s">
        <x:v>31</x:v>
      </x:c>
      <x:c r="B8" t="s">
        <x:v>32</x:v>
      </x:c>
      <x:c r="C8" t="s">
        <x:v>33</x:v>
      </x:c>
      <x:c r="D8">
        <x:v>4</x:v>
      </x:c>
      <x:c r="E8" t="s">
        <x:v>24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7.941176414489746" defaultRowHeight="17.600000381469727"/>
  <x:cols>
    <x:col min="5" max="5" width="22.419116973876953" customWidth="1"/>
  </x:cols>
  <x:sheetData>
    <x:row r="1">
      <x:c r="A1" t="s">
        <x:v>34</x:v>
      </x:c>
    </x:row>
    <x:row r="2">
      <x:c r="A2" t="s">
        <x:v>35</x:v>
      </x:c>
    </x:row>
    <x:row r="4">
      <x:c r="A4" t="s">
        <x:v>16</x:v>
      </x:c>
      <x:c r="B4" t="s">
        <x:v>17</x:v>
      </x:c>
      <x:c r="C4" t="s">
        <x:v>36</x:v>
      </x:c>
      <x:c r="D4" t="s">
        <x:v>37</x:v>
      </x:c>
      <x:c r="E4" t="s">
        <x:v>38</x:v>
      </x:c>
      <x:c r="F4" t="s">
        <x:v>20</x:v>
      </x:c>
      <x:c r="G4" t="s">
        <x:v>39</x:v>
      </x:c>
      <x:c r="H4" t="s">
        <x:v>40</x:v>
      </x:c>
    </x:row>
    <x:row r="5">
      <x:c r="A5" t="s">
        <x:v>21</x:v>
      </x:c>
      <x:c r="B5" t="s">
        <x:v>22</x:v>
      </x:c>
      <x:c r="C5" t="s">
        <x:v>41</x:v>
      </x:c>
      <x:c r="D5" t="s">
        <x:v>42</x:v>
      </x:c>
      <x:c r="E5" t="s">
        <x:v>43</x:v>
      </x:c>
      <x:c r="F5" t="s">
        <x:v>44</x:v>
      </x:c>
      <x:c r="G5" t="s">
        <x:v>42</x:v>
      </x:c>
      <x:c r="H5" t="s">
        <x:v>45</x:v>
      </x:c>
    </x:row>
    <x:row r="6">
      <x:c r="A6" t="s">
        <x:v>25</x:v>
      </x:c>
      <x:c r="B6" t="s">
        <x:v>26</x:v>
      </x:c>
      <x:c r="C6" t="s">
        <x:v>46</x:v>
      </x:c>
      <x:c r="D6" t="s">
        <x:v>47</x:v>
      </x:c>
      <x:c r="E6" t="s">
        <x:v>48</x:v>
      </x:c>
      <x:c r="F6" t="s">
        <x:v>44</x:v>
      </x:c>
      <x:c r="G6" t="s">
        <x:v>47</x:v>
      </x:c>
      <x:c r="H6" t="s">
        <x:v>49</x:v>
      </x:c>
    </x:row>
    <x:row r="7">
      <x:c r="A7" t="s">
        <x:v>25</x:v>
      </x:c>
      <x:c r="B7" t="s">
        <x:v>26</x:v>
      </x:c>
      <x:c r="C7" t="s">
        <x:v>50</x:v>
      </x:c>
      <x:c r="D7" t="s">
        <x:v>51</x:v>
      </x:c>
      <x:c r="E7" t="s">
        <x:v>52</x:v>
      </x:c>
      <x:c r="F7" t="s">
        <x:v>44</x:v>
      </x:c>
      <x:c r="G7" t="s">
        <x:v>51</x:v>
      </x:c>
      <x:c r="H7" t="s">
        <x:v>53</x:v>
      </x:c>
    </x:row>
    <x:row r="8">
      <x:c r="A8" t="s">
        <x:v>25</x:v>
      </x:c>
      <x:c r="B8" t="s">
        <x:v>26</x:v>
      </x:c>
      <x:c r="C8" t="s">
        <x:v>54</x:v>
      </x:c>
      <x:c r="D8" t="s">
        <x:v>55</x:v>
      </x:c>
      <x:c r="E8" t="s">
        <x:v>56</x:v>
      </x:c>
      <x:c r="F8" t="s">
        <x:v>44</x:v>
      </x:c>
      <x:c r="G8" t="s">
        <x:v>55</x:v>
      </x:c>
      <x:c r="H8" t="s">
        <x:v>57</x:v>
      </x:c>
    </x:row>
    <x:row r="9">
      <x:c r="A9" t="s">
        <x:v>25</x:v>
      </x:c>
      <x:c r="B9" t="s">
        <x:v>26</x:v>
      </x:c>
      <x:c r="C9" t="s">
        <x:v>58</x:v>
      </x:c>
      <x:c r="D9" t="s">
        <x:v>59</x:v>
      </x:c>
      <x:c r="E9" t="s">
        <x:v>60</x:v>
      </x:c>
      <x:c r="F9" t="s">
        <x:v>44</x:v>
      </x:c>
      <x:c r="G9" t="s">
        <x:v>59</x:v>
      </x:c>
      <x:c r="H9" t="s">
        <x:v>61</x:v>
      </x:c>
    </x:row>
    <x:row r="10">
      <x:c r="A10" t="s">
        <x:v>25</x:v>
      </x:c>
      <x:c r="B10" t="s">
        <x:v>26</x:v>
      </x:c>
      <x:c r="C10" t="s">
        <x:v>62</x:v>
      </x:c>
      <x:c r="D10" t="s">
        <x:v>63</x:v>
      </x:c>
      <x:c r="E10" t="s">
        <x:v>64</x:v>
      </x:c>
      <x:c r="F10" t="s">
        <x:v>44</x:v>
      </x:c>
      <x:c r="G10" t="s">
        <x:v>63</x:v>
      </x:c>
      <x:c r="H10" t="s">
        <x:v>65</x:v>
      </x:c>
    </x:row>
    <x:row r="11">
      <x:c r="A11" t="s">
        <x:v>25</x:v>
      </x:c>
      <x:c r="B11" t="s">
        <x:v>26</x:v>
      </x:c>
      <x:c r="C11" t="s">
        <x:v>66</x:v>
      </x:c>
      <x:c r="D11" t="s">
        <x:v>67</x:v>
      </x:c>
      <x:c r="E11" t="s">
        <x:v>68</x:v>
      </x:c>
      <x:c r="F11" t="s">
        <x:v>44</x:v>
      </x:c>
      <x:c r="G11" t="s">
        <x:v>67</x:v>
      </x:c>
      <x:c r="H11" t="s">
        <x:v>69</x:v>
      </x:c>
    </x:row>
    <x:row r="12">
      <x:c r="A12" t="s">
        <x:v>31</x:v>
      </x:c>
      <x:c r="B12" t="s">
        <x:v>32</x:v>
      </x:c>
      <x:c r="C12" t="s">
        <x:v>70</x:v>
      </x:c>
      <x:c r="D12" t="s">
        <x:v>71</x:v>
      </x:c>
      <x:c r="E12" t="s">
        <x:v>72</x:v>
      </x:c>
      <x:c r="F12" t="s">
        <x:v>44</x:v>
      </x:c>
      <x:c r="G12" t="s">
        <x:v>71</x:v>
      </x:c>
      <x:c r="H12" t="s">
        <x:v>73</x:v>
      </x:c>
    </x:row>
    <x:row r="13">
      <x:c r="A13" t="s">
        <x:v>31</x:v>
      </x:c>
      <x:c r="B13" t="s">
        <x:v>32</x:v>
      </x:c>
      <x:c r="C13" t="s">
        <x:v>74</x:v>
      </x:c>
      <x:c r="D13" t="s">
        <x:v>75</x:v>
      </x:c>
      <x:c r="E13" t="s">
        <x:v>76</x:v>
      </x:c>
      <x:c r="F13" t="s">
        <x:v>44</x:v>
      </x:c>
      <x:c r="G13" t="s">
        <x:v>75</x:v>
      </x:c>
      <x:c r="H13" t="s">
        <x:v>77</x:v>
      </x:c>
    </x:row>
    <x:row r="14">
      <x:c r="A14" t="s">
        <x:v>31</x:v>
      </x:c>
      <x:c r="B14" t="s">
        <x:v>32</x:v>
      </x:c>
      <x:c r="C14" t="s">
        <x:v>78</x:v>
      </x:c>
      <x:c r="D14" t="s">
        <x:v>79</x:v>
      </x:c>
      <x:c r="E14" t="s">
        <x:v>80</x:v>
      </x:c>
      <x:c r="F14" t="s">
        <x:v>44</x:v>
      </x:c>
      <x:c r="G14" t="s">
        <x:v>79</x:v>
      </x:c>
      <x:c r="H14" t="s">
        <x:v>81</x:v>
      </x:c>
    </x:row>
    <x:row r="15">
      <x:c r="A15" t="s">
        <x:v>31</x:v>
      </x:c>
      <x:c r="B15" t="s">
        <x:v>32</x:v>
      </x:c>
      <x:c r="C15" t="s">
        <x:v>82</x:v>
      </x:c>
      <x:c r="D15" t="s">
        <x:v>83</x:v>
      </x:c>
      <x:c r="E15" t="s">
        <x:v>84</x:v>
      </x:c>
      <x:c r="F15" t="s">
        <x:v>44</x:v>
      </x:c>
      <x:c r="G15" t="s">
        <x:v>83</x:v>
      </x:c>
      <x:c r="H15" t="s">
        <x:v>85</x:v>
      </x:c>
    </x:row>
    <x:row r="16">
      <x:c r="A16" t="s">
        <x:v>31</x:v>
      </x:c>
      <x:c r="B16" t="s">
        <x:v>32</x:v>
      </x:c>
      <x:c r="C16" t="s">
        <x:v>86</x:v>
      </x:c>
      <x:c r="D16" t="s">
        <x:v>87</x:v>
      </x:c>
      <x:c r="E16" t="s">
        <x:v>88</x:v>
      </x:c>
      <x:c r="F16" t="s">
        <x:v>44</x:v>
      </x:c>
      <x:c r="G16" t="s">
        <x:v>87</x:v>
      </x:c>
      <x:c r="H16" t="s">
        <x:v>89</x:v>
      </x:c>
    </x:row>
    <x:row r="17">
      <x:c r="A17" t="s">
        <x:v>31</x:v>
      </x:c>
      <x:c r="B17" t="s">
        <x:v>32</x:v>
      </x:c>
      <x:c r="C17" t="s">
        <x:v>90</x:v>
      </x:c>
      <x:c r="D17" t="s">
        <x:v>91</x:v>
      </x:c>
      <x:c r="E17" t="s">
        <x:v>92</x:v>
      </x:c>
      <x:c r="F17" t="s">
        <x:v>44</x:v>
      </x:c>
      <x:c r="G17" t="s">
        <x:v>91</x:v>
      </x:c>
      <x:c r="H17" t="s">
        <x:v>93</x:v>
      </x:c>
    </x:row>
    <x:row r="18">
      <x:c r="A18" t="s">
        <x:v>31</x:v>
      </x:c>
      <x:c r="B18" t="s">
        <x:v>32</x:v>
      </x:c>
      <x:c r="C18" t="s">
        <x:v>94</x:v>
      </x:c>
      <x:c r="D18" t="s">
        <x:v>95</x:v>
      </x:c>
      <x:c r="E18" t="s">
        <x:v>96</x:v>
      </x:c>
      <x:c r="F18" t="s">
        <x:v>44</x:v>
      </x:c>
      <x:c r="G18" t="s">
        <x:v>95</x:v>
      </x:c>
      <x:c r="H18" t="s">
        <x:v>97</x:v>
      </x:c>
    </x:row>
    <x:row r="19">
      <x:c r="A19" t="s">
        <x:v>31</x:v>
      </x:c>
      <x:c r="B19" t="s">
        <x:v>32</x:v>
      </x:c>
      <x:c r="C19" t="s">
        <x:v>98</x:v>
      </x:c>
      <x:c r="D19" t="s">
        <x:v>99</x:v>
      </x:c>
      <x:c r="E19" t="s">
        <x:v>100</x:v>
      </x:c>
      <x:c r="F19" t="s">
        <x:v>44</x:v>
      </x:c>
      <x:c r="G19" t="s">
        <x:v>99</x:v>
      </x:c>
      <x:c r="H19" t="s">
        <x:v>101</x:v>
      </x:c>
    </x:row>
    <x:row r="20">
      <x:c r="A20" t="s">
        <x:v>31</x:v>
      </x:c>
      <x:c r="B20" t="s">
        <x:v>32</x:v>
      </x:c>
      <x:c r="C20" t="s">
        <x:v>102</x:v>
      </x:c>
      <x:c r="D20" t="s">
        <x:v>103</x:v>
      </x:c>
      <x:c r="E20" t="s">
        <x:v>104</x:v>
      </x:c>
      <x:c r="F20" t="s">
        <x:v>44</x:v>
      </x:c>
      <x:c r="G20" t="s">
        <x:v>103</x:v>
      </x:c>
      <x:c r="H20" t="s">
        <x:v>105</x:v>
      </x:c>
    </x:row>
    <x:row r="21">
      <x:c r="A21" t="s">
        <x:v>31</x:v>
      </x:c>
      <x:c r="B21" t="s">
        <x:v>32</x:v>
      </x:c>
      <x:c r="C21" t="s">
        <x:v>106</x:v>
      </x:c>
      <x:c r="D21" t="s">
        <x:v>107</x:v>
      </x:c>
      <x:c r="E21" t="s">
        <x:v>108</x:v>
      </x:c>
      <x:c r="F21" t="s">
        <x:v>44</x:v>
      </x:c>
      <x:c r="G21" t="s">
        <x:v>107</x:v>
      </x:c>
      <x:c r="H21" t="s">
        <x:v>109</x:v>
      </x:c>
    </x:row>
    <x:row r="22">
      <x:c r="A22" t="s">
        <x:v>31</x:v>
      </x:c>
      <x:c r="B22" t="s">
        <x:v>32</x:v>
      </x:c>
      <x:c r="C22" t="s">
        <x:v>110</x:v>
      </x:c>
      <x:c r="D22" t="s">
        <x:v>111</x:v>
      </x:c>
      <x:c r="E22" t="s">
        <x:v>112</x:v>
      </x:c>
      <x:c r="F22" t="s">
        <x:v>44</x:v>
      </x:c>
      <x:c r="G22" t="s">
        <x:v>111</x:v>
      </x:c>
      <x:c r="H22" t="s">
        <x:v>113</x:v>
      </x:c>
    </x:row>
    <x:row r="23">
      <x:c r="A23" t="s">
        <x:v>31</x:v>
      </x:c>
      <x:c r="B23" t="s">
        <x:v>32</x:v>
      </x:c>
      <x:c r="C23" t="s">
        <x:v>114</x:v>
      </x:c>
      <x:c r="D23" t="s">
        <x:v>115</x:v>
      </x:c>
      <x:c r="E23" t="s">
        <x:v>116</x:v>
      </x:c>
      <x:c r="F23" t="s">
        <x:v>44</x:v>
      </x:c>
      <x:c r="G23" t="s">
        <x:v>115</x:v>
      </x:c>
      <x:c r="H23" t="s">
        <x:v>117</x:v>
      </x:c>
    </x:row>
    <x:row r="24">
      <x:c r="A24" t="s">
        <x:v>31</x:v>
      </x:c>
      <x:c r="B24" t="s">
        <x:v>32</x:v>
      </x:c>
      <x:c r="C24" t="s">
        <x:v>118</x:v>
      </x:c>
      <x:c r="D24" t="s">
        <x:v>119</x:v>
      </x:c>
      <x:c r="E24" t="s">
        <x:v>120</x:v>
      </x:c>
      <x:c r="F24" t="s">
        <x:v>44</x:v>
      </x:c>
      <x:c r="G24" t="s">
        <x:v>119</x:v>
      </x:c>
      <x:c r="H24" t="s">
        <x:v>121</x:v>
      </x:c>
    </x:row>
    <x:row r="25">
      <x:c r="A25" t="s">
        <x:v>31</x:v>
      </x:c>
      <x:c r="B25" t="s">
        <x:v>32</x:v>
      </x:c>
      <x:c r="C25" t="s">
        <x:v>122</x:v>
      </x:c>
      <x:c r="D25" t="s">
        <x:v>123</x:v>
      </x:c>
      <x:c r="E25" t="s">
        <x:v>124</x:v>
      </x:c>
      <x:c r="F25" t="s">
        <x:v>44</x:v>
      </x:c>
      <x:c r="G25" t="s">
        <x:v>123</x:v>
      </x:c>
      <x:c r="H25" t="s">
        <x:v>125</x:v>
      </x:c>
    </x:row>
    <x:row r="26">
      <x:c r="A26" t="s">
        <x:v>28</x:v>
      </x:c>
      <x:c r="B26" t="s">
        <x:v>29</x:v>
      </x:c>
      <x:c r="C26" t="s">
        <x:v>126</x:v>
      </x:c>
      <x:c r="D26" t="s">
        <x:v>127</x:v>
      </x:c>
      <x:c r="E26" t="s">
        <x:v>128</x:v>
      </x:c>
      <x:c r="F26" t="s">
        <x:v>44</x:v>
      </x:c>
      <x:c r="G26" t="s">
        <x:v>127</x:v>
      </x:c>
      <x:c r="H26" t="s">
        <x:v>129</x:v>
      </x:c>
    </x:row>
    <x:row r="27">
      <x:c r="A27" t="s">
        <x:v>28</x:v>
      </x:c>
      <x:c r="B27" t="s">
        <x:v>29</x:v>
      </x:c>
      <x:c r="C27" t="s">
        <x:v>130</x:v>
      </x:c>
      <x:c r="D27" t="s">
        <x:v>131</x:v>
      </x:c>
      <x:c r="E27" t="s">
        <x:v>132</x:v>
      </x:c>
      <x:c r="F27" t="s">
        <x:v>44</x:v>
      </x:c>
      <x:c r="G27" t="s">
        <x:v>131</x:v>
      </x:c>
      <x:c r="H27" t="s">
        <x:v>133</x:v>
      </x:c>
    </x:row>
    <x:row r="28">
      <x:c r="A28" t="s">
        <x:v>28</x:v>
      </x:c>
      <x:c r="B28" t="s">
        <x:v>29</x:v>
      </x:c>
      <x:c r="C28" t="s">
        <x:v>134</x:v>
      </x:c>
      <x:c r="D28" t="s">
        <x:v>135</x:v>
      </x:c>
      <x:c r="E28" t="s">
        <x:v>136</x:v>
      </x:c>
      <x:c r="F28" t="s">
        <x:v>44</x:v>
      </x:c>
      <x:c r="G28" t="s">
        <x:v>135</x:v>
      </x:c>
      <x:c r="H28" t="s">
        <x:v>137</x:v>
      </x:c>
    </x:row>
    <x:row r="29">
      <x:c r="A29" t="s">
        <x:v>28</x:v>
      </x:c>
      <x:c r="B29" t="s">
        <x:v>29</x:v>
      </x:c>
      <x:c r="C29" t="s">
        <x:v>138</x:v>
      </x:c>
      <x:c r="D29" t="s">
        <x:v>139</x:v>
      </x:c>
      <x:c r="E29" t="s">
        <x:v>140</x:v>
      </x:c>
      <x:c r="F29" t="s">
        <x:v>44</x:v>
      </x:c>
      <x:c r="G29" t="s">
        <x:v>139</x:v>
      </x:c>
      <x:c r="H29" t="s">
        <x:v>141</x:v>
      </x:c>
    </x:row>
    <x:row r="30">
      <x:c r="A30" t="s">
        <x:v>28</x:v>
      </x:c>
      <x:c r="B30" t="s">
        <x:v>29</x:v>
      </x:c>
      <x:c r="C30" t="s">
        <x:v>142</x:v>
      </x:c>
      <x:c r="D30" t="s">
        <x:v>143</x:v>
      </x:c>
      <x:c r="E30" t="s">
        <x:v>144</x:v>
      </x:c>
      <x:c r="F30" t="s">
        <x:v>44</x:v>
      </x:c>
      <x:c r="G30" t="s">
        <x:v>143</x:v>
      </x:c>
      <x:c r="H30" t="s">
        <x:v>145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7.941176414489746" defaultRowHeight="17.600000381469727"/>
  <x:cols>
    <x:col min="4" max="4" width="13.727941513061523" customWidth="1"/>
    <x:col min="5" max="16" width="7.941176414489746" customWidth="1"/>
    <x:col min="17" max="17" width="24.382352828979492" customWidth="1"/>
    <x:col min="18" max="18" width="14.338234901428223" customWidth="1"/>
    <x:col min="19" max="19" width="11.514705657958984" customWidth="1"/>
    <x:col min="20" max="20" width="19.852941513061523" customWidth="1"/>
    <x:col min="21" max="21" width="25.367647171020508" customWidth="1"/>
    <x:col min="22" max="22" width="22.794116973876953" customWidth="1"/>
  </x:cols>
  <x:sheetData>
    <x:row r="1">
      <x:c r="A1" t="s">
        <x:v>146</x:v>
      </x:c>
    </x:row>
    <x:row r="2">
      <x:c r="A2" t="s">
        <x:v>147</x:v>
      </x:c>
    </x:row>
    <x:row r="4">
      <x:c r="A4" t="s">
        <x:v>16</x:v>
      </x:c>
      <x:c r="B4" t="s">
        <x:v>36</x:v>
      </x:c>
      <x:c r="C4" t="s">
        <x:v>148</x:v>
      </x:c>
      <x:c r="D4" t="s">
        <x:v>149</x:v>
      </x:c>
      <x:c r="E4" t="s">
        <x:v>150</x:v>
      </x:c>
      <x:c r="F4" t="s">
        <x:v>151</x:v>
      </x:c>
      <x:c r="G4" t="s">
        <x:v>152</x:v>
      </x:c>
      <x:c r="H4" t="s">
        <x:v>153</x:v>
      </x:c>
      <x:c r="I4" t="s">
        <x:v>154</x:v>
      </x:c>
      <x:c r="J4" t="s">
        <x:v>155</x:v>
      </x:c>
      <x:c r="K4" t="s">
        <x:v>156</x:v>
      </x:c>
      <x:c r="L4" t="s">
        <x:v>157</x:v>
      </x:c>
      <x:c r="M4" t="s">
        <x:v>158</x:v>
      </x:c>
      <x:c r="N4" t="s">
        <x:v>159</x:v>
      </x:c>
      <x:c r="O4" t="s">
        <x:v>20</x:v>
      </x:c>
      <x:c r="P4" t="s">
        <x:v>160</x:v>
      </x:c>
      <x:c r="Q4" t="s">
        <x:v>161</x:v>
      </x:c>
      <x:c r="R4" t="s">
        <x:v>162</x:v>
      </x:c>
      <x:c r="S4" t="s">
        <x:v>163</x:v>
      </x:c>
      <x:c r="T4" t="s">
        <x:v>164</x:v>
      </x:c>
      <x:c r="U4" t="s">
        <x:v>165</x:v>
      </x:c>
      <x:c r="V4" t="s">
        <x:v>166</x:v>
      </x:c>
      <x:c r="W4" t="str">
        <x:v>Size Key</x:v>
      </x:c>
    </x:row>
    <x:row r="5">
      <x:c r="A5" t="s">
        <x:v>21</x:v>
      </x:c>
      <x:c r="B5" t="s">
        <x:v>41</x:v>
      </x:c>
      <x:c r="C5" t="s">
        <x:v>167</x:v>
      </x:c>
      <x:c r="D5" t="s">
        <x:v>42</x:v>
      </x:c>
      <x:c r="E5" t="s">
        <x:v>45</x:v>
      </x:c>
      <x:c r="F5" t="s">
        <x:v>168</x:v>
      </x:c>
      <x:c r="G5" t="s">
        <x:v>169</x:v>
      </x:c>
      <x:c r="H5" t="s">
        <x:v>170</x:v>
      </x:c>
      <x:c r="I5">
        <x:v>9.95</x:v>
      </x:c>
      <x:c r="J5">
        <x:v>1.99</x:v>
      </x:c>
      <x:c r="K5" t="n">
        <x:f>IF(J5="","",IF(J5&lt;10,'Price Rules'!$B$5,IF(J5&lt;=50,'Price Rules'!$B$6,'Price Rules'!$B$7)))</x:f>
        <x:v>5</x:v>
      </x:c>
      <x:c r="L5" t="n">
        <x:f t="shared" ref="L5:L68" si="0">IF(J5="","",ROUND(J5*K5,0))</x:f>
        <x:v>10</x:v>
      </x:c>
      <x:c r="M5" t="s">
        <x:v>43</x:v>
      </x:c>
      <x:c r="N5" t="s">
        <x:v>171</x:v>
      </x:c>
      <x:c r="O5" t="str">
        <x:v>Ready Stock</x:v>
      </x:c>
      <x:c r="P5">
        <x:v>3</x:v>
      </x:c>
      <x:c r="Q5" t="s">
        <x:v>172</x:v>
      </x:c>
      <x:c r="R5" t="s">
        <x:v>173</x:v>
      </x:c>
      <x:c r="S5" t="s">
        <x:v>174</x:v>
      </x:c>
      <x:c r="T5" t="s">
        <x:v>175</x:v>
      </x:c>
      <x:c r="U5" t="s">
        <x:v>176</x:v>
      </x:c>
      <x:c r="W5" t="str">
        <x:v>7-inch</x:v>
      </x:c>
    </x:row>
    <x:row r="6">
      <x:c r="A6" t="s">
        <x:v>21</x:v>
      </x:c>
      <x:c r="B6" t="s">
        <x:v>41</x:v>
      </x:c>
      <x:c r="C6" t="s">
        <x:v>177</x:v>
      </x:c>
      <x:c r="D6" t="s">
        <x:v>42</x:v>
      </x:c>
      <x:c r="E6" t="s">
        <x:v>45</x:v>
      </x:c>
      <x:c r="F6" t="s">
        <x:v>168</x:v>
      </x:c>
      <x:c r="G6" t="s">
        <x:v>178</x:v>
      </x:c>
      <x:c r="H6" t="s">
        <x:v>179</x:v>
      </x:c>
      <x:c r="I6">
        <x:v>12.9</x:v>
      </x:c>
      <x:c r="J6">
        <x:v>2.58</x:v>
      </x:c>
      <x:c r="K6" t="n">
        <x:f>IF(J6="","",IF(J6&lt;10,'Price Rules'!$B$5,IF(J6&lt;=50,'Price Rules'!$B$6,'Price Rules'!$B$7)))</x:f>
        <x:v>5</x:v>
      </x:c>
      <x:c r="L6">
        <x:f t="shared" si="0"/>
        <x:v>13</x:v>
      </x:c>
      <x:c r="M6" t="s">
        <x:v>180</x:v>
      </x:c>
      <x:c r="N6" t="s">
        <x:v>171</x:v>
      </x:c>
      <x:c r="O6" t="str">
        <x:v>Ready Stock</x:v>
      </x:c>
      <x:c r="P6">
        <x:v>4</x:v>
      </x:c>
      <x:c r="Q6" t="s">
        <x:v>172</x:v>
      </x:c>
      <x:c r="R6" t="s">
        <x:v>173</x:v>
      </x:c>
      <x:c r="S6" t="s">
        <x:v>174</x:v>
      </x:c>
      <x:c r="T6" t="s">
        <x:v>175</x:v>
      </x:c>
      <x:c r="U6" t="s">
        <x:v>176</x:v>
      </x:c>
      <x:c r="W6" t="str">
        <x:v>8-inch</x:v>
      </x:c>
    </x:row>
    <x:row r="7">
      <x:c r="A7" t="s">
        <x:v>21</x:v>
      </x:c>
      <x:c r="B7" t="s">
        <x:v>41</x:v>
      </x:c>
      <x:c r="C7" t="s">
        <x:v>181</x:v>
      </x:c>
      <x:c r="D7" t="s">
        <x:v>42</x:v>
      </x:c>
      <x:c r="E7" t="s">
        <x:v>45</x:v>
      </x:c>
      <x:c r="F7" t="s">
        <x:v>168</x:v>
      </x:c>
      <x:c r="G7" t="s">
        <x:v>182</x:v>
      </x:c>
      <x:c r="H7" t="s">
        <x:v>183</x:v>
      </x:c>
      <x:c r="I7">
        <x:v>17.9</x:v>
      </x:c>
      <x:c r="J7">
        <x:v>3.58</x:v>
      </x:c>
      <x:c r="K7" t="n">
        <x:f>IF(J7="","",IF(J7&lt;10,'Price Rules'!$B$5,IF(J7&lt;=50,'Price Rules'!$B$6,'Price Rules'!$B$7)))</x:f>
        <x:v>5</x:v>
      </x:c>
      <x:c r="L7">
        <x:f t="shared" si="0"/>
        <x:v>18</x:v>
      </x:c>
      <x:c r="M7" t="s">
        <x:v>184</x:v>
      </x:c>
      <x:c r="N7" t="s">
        <x:v>171</x:v>
      </x:c>
      <x:c r="O7" t="str">
        <x:v>Ready Stock</x:v>
      </x:c>
      <x:c r="P7">
        <x:v>5</x:v>
      </x:c>
      <x:c r="Q7" t="s">
        <x:v>172</x:v>
      </x:c>
      <x:c r="R7" t="s">
        <x:v>173</x:v>
      </x:c>
      <x:c r="S7" t="s">
        <x:v>174</x:v>
      </x:c>
      <x:c r="T7" t="s">
        <x:v>175</x:v>
      </x:c>
      <x:c r="U7" t="s">
        <x:v>176</x:v>
      </x:c>
      <x:c r="W7" t="str">
        <x:v>10-inch</x:v>
      </x:c>
    </x:row>
    <x:row r="8">
      <x:c r="A8" t="s">
        <x:v>21</x:v>
      </x:c>
      <x:c r="B8" t="s">
        <x:v>41</x:v>
      </x:c>
      <x:c r="C8" t="s">
        <x:v>185</x:v>
      </x:c>
      <x:c r="D8" t="s">
        <x:v>42</x:v>
      </x:c>
      <x:c r="E8" t="s">
        <x:v>45</x:v>
      </x:c>
      <x:c r="F8" t="s">
        <x:v>168</x:v>
      </x:c>
      <x:c r="G8" t="s">
        <x:v>186</x:v>
      </x:c>
      <x:c r="H8" t="s">
        <x:v>187</x:v>
      </x:c>
      <x:c r="I8">
        <x:v>19.9</x:v>
      </x:c>
      <x:c r="J8">
        <x:v>3.98</x:v>
      </x:c>
      <x:c r="K8" t="n">
        <x:f>IF(J8="","",IF(J8&lt;10,'Price Rules'!$B$5,IF(J8&lt;=50,'Price Rules'!$B$6,'Price Rules'!$B$7)))</x:f>
        <x:v>5</x:v>
      </x:c>
      <x:c r="L8">
        <x:f t="shared" si="0"/>
        <x:v>20</x:v>
      </x:c>
      <x:c r="M8" t="s">
        <x:v>188</x:v>
      </x:c>
      <x:c r="N8" t="s">
        <x:v>171</x:v>
      </x:c>
      <x:c r="O8" t="str">
        <x:v>Ready Stock</x:v>
      </x:c>
      <x:c r="P8">
        <x:v>6</x:v>
      </x:c>
      <x:c r="Q8" t="s">
        <x:v>172</x:v>
      </x:c>
      <x:c r="R8" t="s">
        <x:v>173</x:v>
      </x:c>
      <x:c r="S8" t="s">
        <x:v>174</x:v>
      </x:c>
      <x:c r="T8" t="s">
        <x:v>175</x:v>
      </x:c>
      <x:c r="U8" t="s">
        <x:v>176</x:v>
      </x:c>
      <x:c r="W8" t="str">
        <x:v>12-inch</x:v>
      </x:c>
    </x:row>
    <x:row r="9">
      <x:c r="A9" t="s">
        <x:v>21</x:v>
      </x:c>
      <x:c r="B9" t="s">
        <x:v>41</x:v>
      </x:c>
      <x:c r="C9" t="s">
        <x:v>189</x:v>
      </x:c>
      <x:c r="D9" t="s">
        <x:v>42</x:v>
      </x:c>
      <x:c r="E9" t="s">
        <x:v>45</x:v>
      </x:c>
      <x:c r="F9" t="s">
        <x:v>168</x:v>
      </x:c>
      <x:c r="G9" t="s">
        <x:v>190</x:v>
      </x:c>
      <x:c r="H9" t="s">
        <x:v>191</x:v>
      </x:c>
      <x:c r="I9">
        <x:v>25.9</x:v>
      </x:c>
      <x:c r="J9">
        <x:v>5.18</x:v>
      </x:c>
      <x:c r="K9" t="n">
        <x:f>IF(J9="","",IF(J9&lt;10,'Price Rules'!$B$5,IF(J9&lt;=50,'Price Rules'!$B$6,'Price Rules'!$B$7)))</x:f>
        <x:v>5</x:v>
      </x:c>
      <x:c r="L9">
        <x:f t="shared" si="0"/>
        <x:v>26</x:v>
      </x:c>
      <x:c r="M9" t="s">
        <x:v>192</x:v>
      </x:c>
      <x:c r="N9" t="s">
        <x:v>171</x:v>
      </x:c>
      <x:c r="O9" t="str">
        <x:v>Ready Stock</x:v>
      </x:c>
      <x:c r="P9">
        <x:v>7</x:v>
      </x:c>
      <x:c r="Q9" t="s">
        <x:v>172</x:v>
      </x:c>
      <x:c r="R9" t="s">
        <x:v>173</x:v>
      </x:c>
      <x:c r="S9" t="s">
        <x:v>174</x:v>
      </x:c>
      <x:c r="T9" t="s">
        <x:v>175</x:v>
      </x:c>
      <x:c r="U9" t="s">
        <x:v>176</x:v>
      </x:c>
      <x:c r="W9" t="str">
        <x:v>14-inch</x:v>
      </x:c>
    </x:row>
    <x:row r="10">
      <x:c r="A10" t="s">
        <x:v>21</x:v>
      </x:c>
      <x:c r="B10" t="s">
        <x:v>41</x:v>
      </x:c>
      <x:c r="C10" t="s">
        <x:v>193</x:v>
      </x:c>
      <x:c r="D10" t="s">
        <x:v>42</x:v>
      </x:c>
      <x:c r="E10" t="s">
        <x:v>45</x:v>
      </x:c>
      <x:c r="F10" t="s">
        <x:v>194</x:v>
      </x:c>
      <x:c r="G10" t="s">
        <x:v>195</x:v>
      </x:c>
      <x:c r="H10" t="s">
        <x:v>196</x:v>
      </x:c>
      <x:c r="I10">
        <x:v>39.9</x:v>
      </x:c>
      <x:c r="J10">
        <x:v>7.98</x:v>
      </x:c>
      <x:c r="K10" t="n">
        <x:f>IF(J10="","",IF(J10&lt;10,'Price Rules'!$B$5,IF(J10&lt;=50,'Price Rules'!$B$6,'Price Rules'!$B$7)))</x:f>
        <x:v>5</x:v>
      </x:c>
      <x:c r="L10">
        <x:f t="shared" si="0"/>
        <x:v>40</x:v>
      </x:c>
      <x:c r="M10" t="s">
        <x:v>197</x:v>
      </x:c>
      <x:c r="N10" t="s">
        <x:v>171</x:v>
      </x:c>
      <x:c r="O10" t="str">
        <x:v>Ready Stock</x:v>
      </x:c>
      <x:c r="P10">
        <x:v>8</x:v>
      </x:c>
      <x:c r="Q10" t="s">
        <x:v>198</x:v>
      </x:c>
      <x:c r="R10" t="s">
        <x:v>173</x:v>
      </x:c>
      <x:c r="S10" t="s">
        <x:v>174</x:v>
      </x:c>
      <x:c r="T10" t="s">
        <x:v>175</x:v>
      </x:c>
      <x:c r="U10" t="s">
        <x:v>176</x:v>
      </x:c>
      <x:c r="W10" t="str">
        <x:v>16-inch</x:v>
      </x:c>
    </x:row>
    <x:row r="11">
      <x:c r="A11" t="s">
        <x:v>21</x:v>
      </x:c>
      <x:c r="B11" t="s">
        <x:v>41</x:v>
      </x:c>
      <x:c r="C11" t="s">
        <x:v>199</x:v>
      </x:c>
      <x:c r="D11" t="s">
        <x:v>42</x:v>
      </x:c>
      <x:c r="E11" t="s">
        <x:v>45</x:v>
      </x:c>
      <x:c r="F11" t="s">
        <x:v>194</x:v>
      </x:c>
      <x:c r="G11" t="s">
        <x:v>200</x:v>
      </x:c>
      <x:c r="H11" t="s">
        <x:v>201</x:v>
      </x:c>
      <x:c r="I11">
        <x:v>45.9</x:v>
      </x:c>
      <x:c r="J11">
        <x:v>9.18</x:v>
      </x:c>
      <x:c r="K11" t="n">
        <x:f>IF(J11="","",IF(J11&lt;10,'Price Rules'!$B$5,IF(J11&lt;=50,'Price Rules'!$B$6,'Price Rules'!$B$7)))</x:f>
        <x:v>5</x:v>
      </x:c>
      <x:c r="L11">
        <x:f t="shared" si="0"/>
        <x:v>46</x:v>
      </x:c>
      <x:c r="M11" t="s">
        <x:v>202</x:v>
      </x:c>
      <x:c r="N11" t="s">
        <x:v>171</x:v>
      </x:c>
      <x:c r="O11" t="str">
        <x:v>Ready Stock</x:v>
      </x:c>
      <x:c r="P11">
        <x:v>9</x:v>
      </x:c>
      <x:c r="Q11" t="s">
        <x:v>198</x:v>
      </x:c>
      <x:c r="R11" t="s">
        <x:v>173</x:v>
      </x:c>
      <x:c r="S11" t="s">
        <x:v>174</x:v>
      </x:c>
      <x:c r="T11" t="s">
        <x:v>175</x:v>
      </x:c>
      <x:c r="U11" t="s">
        <x:v>176</x:v>
      </x:c>
      <x:c r="W11" t="str">
        <x:v>18-inch</x:v>
      </x:c>
    </x:row>
    <x:row r="12">
      <x:c r="A12" t="s">
        <x:v>21</x:v>
      </x:c>
      <x:c r="B12" t="s">
        <x:v>41</x:v>
      </x:c>
      <x:c r="C12" t="s">
        <x:v>203</x:v>
      </x:c>
      <x:c r="D12" t="s">
        <x:v>42</x:v>
      </x:c>
      <x:c r="E12" t="s">
        <x:v>45</x:v>
      </x:c>
      <x:c r="F12" t="s">
        <x:v>194</x:v>
      </x:c>
      <x:c r="G12" t="s">
        <x:v>204</x:v>
      </x:c>
      <x:c r="H12" t="s">
        <x:v>205</x:v>
      </x:c>
      <x:c r="I12">
        <x:v>51</x:v>
      </x:c>
      <x:c r="J12">
        <x:v>10.2</x:v>
      </x:c>
      <x:c r="K12" t="n">
        <x:f>IF(J12="","",IF(J12&lt;10,'Price Rules'!$B$5,IF(J12&lt;=50,'Price Rules'!$B$6,'Price Rules'!$B$7)))</x:f>
        <x:v>4</x:v>
      </x:c>
      <x:c r="L12">
        <x:f t="shared" si="0"/>
        <x:v>41</x:v>
      </x:c>
      <x:c r="M12" t="s">
        <x:v>206</x:v>
      </x:c>
      <x:c r="N12" t="s">
        <x:v>171</x:v>
      </x:c>
      <x:c r="O12" t="str">
        <x:v>Ready Stock</x:v>
      </x:c>
      <x:c r="P12">
        <x:v>10</x:v>
      </x:c>
      <x:c r="Q12" t="s">
        <x:v>198</x:v>
      </x:c>
      <x:c r="R12" t="s">
        <x:v>173</x:v>
      </x:c>
      <x:c r="S12" t="s">
        <x:v>174</x:v>
      </x:c>
      <x:c r="T12" t="s">
        <x:v>175</x:v>
      </x:c>
      <x:c r="U12" t="s">
        <x:v>176</x:v>
      </x:c>
      <x:c r="W12" t="str">
        <x:v>20-inch</x:v>
      </x:c>
    </x:row>
    <x:row r="13">
      <x:c r="A13" t="s">
        <x:v>21</x:v>
      </x:c>
      <x:c r="B13" t="s">
        <x:v>41</x:v>
      </x:c>
      <x:c r="C13" t="s">
        <x:v>207</x:v>
      </x:c>
      <x:c r="D13" t="s">
        <x:v>42</x:v>
      </x:c>
      <x:c r="E13" t="s">
        <x:v>45</x:v>
      </x:c>
      <x:c r="F13" t="s">
        <x:v>194</x:v>
      </x:c>
      <x:c r="G13" t="s">
        <x:v>208</x:v>
      </x:c>
      <x:c r="H13" t="s">
        <x:v>209</x:v>
      </x:c>
      <x:c r="I13">
        <x:v>70.9</x:v>
      </x:c>
      <x:c r="J13">
        <x:v>14.18</x:v>
      </x:c>
      <x:c r="K13" t="n">
        <x:f>IF(J13="","",IF(J13&lt;10,'Price Rules'!$B$5,IF(J13&lt;=50,'Price Rules'!$B$6,'Price Rules'!$B$7)))</x:f>
        <x:v>4</x:v>
      </x:c>
      <x:c r="L13">
        <x:f t="shared" si="0"/>
        <x:v>57</x:v>
      </x:c>
      <x:c r="M13" t="s">
        <x:v>210</x:v>
      </x:c>
      <x:c r="N13" t="s">
        <x:v>171</x:v>
      </x:c>
      <x:c r="O13" t="str">
        <x:v>Ready Stock</x:v>
      </x:c>
      <x:c r="P13">
        <x:v>11</x:v>
      </x:c>
      <x:c r="Q13" t="s">
        <x:v>198</x:v>
      </x:c>
      <x:c r="R13" t="s">
        <x:v>173</x:v>
      </x:c>
      <x:c r="S13" t="s">
        <x:v>174</x:v>
      </x:c>
      <x:c r="T13" t="s">
        <x:v>175</x:v>
      </x:c>
      <x:c r="U13" t="s">
        <x:v>176</x:v>
      </x:c>
      <x:c r="W13" t="str">
        <x:v>24-small</x:v>
      </x:c>
    </x:row>
    <x:row r="14">
      <x:c r="A14" t="s">
        <x:v>21</x:v>
      </x:c>
      <x:c r="B14" t="s">
        <x:v>41</x:v>
      </x:c>
      <x:c r="C14" t="s">
        <x:v>211</x:v>
      </x:c>
      <x:c r="D14" t="s">
        <x:v>42</x:v>
      </x:c>
      <x:c r="E14" t="s">
        <x:v>45</x:v>
      </x:c>
      <x:c r="F14" t="s">
        <x:v>194</x:v>
      </x:c>
      <x:c r="G14" t="s">
        <x:v>212</x:v>
      </x:c>
      <x:c r="H14" t="s">
        <x:v>213</x:v>
      </x:c>
      <x:c r="I14">
        <x:v>112.9</x:v>
      </x:c>
      <x:c r="J14">
        <x:v>22.58</x:v>
      </x:c>
      <x:c r="K14" t="n">
        <x:f>IF(J14="","",IF(J14&lt;10,'Price Rules'!$B$5,IF(J14&lt;=50,'Price Rules'!$B$6,'Price Rules'!$B$7)))</x:f>
        <x:v>4</x:v>
      </x:c>
      <x:c r="L14">
        <x:f t="shared" si="0"/>
        <x:v>90</x:v>
      </x:c>
      <x:c r="M14" t="s">
        <x:v>214</x:v>
      </x:c>
      <x:c r="N14" t="s">
        <x:v>171</x:v>
      </x:c>
      <x:c r="O14" t="str">
        <x:v>Ready Stock</x:v>
      </x:c>
      <x:c r="P14">
        <x:v>12</x:v>
      </x:c>
      <x:c r="Q14" t="s">
        <x:v>198</x:v>
      </x:c>
      <x:c r="R14" t="s">
        <x:v>173</x:v>
      </x:c>
      <x:c r="S14" t="s">
        <x:v>174</x:v>
      </x:c>
      <x:c r="T14" t="s">
        <x:v>175</x:v>
      </x:c>
      <x:c r="U14" t="s">
        <x:v>176</x:v>
      </x:c>
      <x:c r="W14" t="str">
        <x:v>30-inch</x:v>
      </x:c>
    </x:row>
    <x:row r="15">
      <x:c r="A15" t="s">
        <x:v>21</x:v>
      </x:c>
      <x:c r="B15" t="s">
        <x:v>41</x:v>
      </x:c>
      <x:c r="C15" t="s">
        <x:v>215</x:v>
      </x:c>
      <x:c r="D15" t="s">
        <x:v>42</x:v>
      </x:c>
      <x:c r="E15" t="s">
        <x:v>45</x:v>
      </x:c>
      <x:c r="F15" t="s">
        <x:v>194</x:v>
      </x:c>
      <x:c r="G15" t="s">
        <x:v>216</x:v>
      </x:c>
      <x:c r="H15" t="s">
        <x:v>217</x:v>
      </x:c>
      <x:c r="I15">
        <x:v>110</x:v>
      </x:c>
      <x:c r="J15">
        <x:v>22</x:v>
      </x:c>
      <x:c r="K15" t="n">
        <x:f>IF(J15="","",IF(J15&lt;10,'Price Rules'!$B$5,IF(J15&lt;=50,'Price Rules'!$B$6,'Price Rules'!$B$7)))</x:f>
        <x:v>4</x:v>
      </x:c>
      <x:c r="L15">
        <x:f t="shared" si="0"/>
        <x:v>88</x:v>
      </x:c>
      <x:c r="M15" t="s">
        <x:v>218</x:v>
      </x:c>
      <x:c r="N15" t="s">
        <x:v>171</x:v>
      </x:c>
      <x:c r="O15" t="str">
        <x:v>Ready Stock</x:v>
      </x:c>
      <x:c r="P15">
        <x:v>13</x:v>
      </x:c>
      <x:c r="Q15" t="s">
        <x:v>198</x:v>
      </x:c>
      <x:c r="R15" t="s">
        <x:v>173</x:v>
      </x:c>
      <x:c r="S15" t="s">
        <x:v>174</x:v>
      </x:c>
      <x:c r="T15" t="s">
        <x:v>175</x:v>
      </x:c>
      <x:c r="U15" t="s">
        <x:v>176</x:v>
      </x:c>
      <x:c r="W15" t="str">
        <x:v>32-inch</x:v>
      </x:c>
    </x:row>
    <x:row r="16">
      <x:c r="A16" t="s">
        <x:v>21</x:v>
      </x:c>
      <x:c r="B16" t="s">
        <x:v>41</x:v>
      </x:c>
      <x:c r="C16" t="s">
        <x:v>219</x:v>
      </x:c>
      <x:c r="D16" t="s">
        <x:v>42</x:v>
      </x:c>
      <x:c r="E16" t="s">
        <x:v>45</x:v>
      </x:c>
      <x:c r="F16" t="s">
        <x:v>194</x:v>
      </x:c>
      <x:c r="G16" t="s">
        <x:v>220</x:v>
      </x:c>
      <x:c r="H16" t="s">
        <x:v>221</x:v>
      </x:c>
      <x:c r="I16">
        <x:v>123.5</x:v>
      </x:c>
      <x:c r="J16">
        <x:v>24.7</x:v>
      </x:c>
      <x:c r="K16" t="n">
        <x:f>IF(J16="","",IF(J16&lt;10,'Price Rules'!$B$5,IF(J16&lt;=50,'Price Rules'!$B$6,'Price Rules'!$B$7)))</x:f>
        <x:v>4</x:v>
      </x:c>
      <x:c r="L16">
        <x:f t="shared" si="0"/>
        <x:v>99</x:v>
      </x:c>
      <x:c r="M16" t="s">
        <x:v>222</x:v>
      </x:c>
      <x:c r="N16" t="s">
        <x:v>171</x:v>
      </x:c>
      <x:c r="O16" t="str">
        <x:v>Ready Stock</x:v>
      </x:c>
      <x:c r="P16">
        <x:v>14</x:v>
      </x:c>
      <x:c r="Q16" t="s">
        <x:v>198</x:v>
      </x:c>
      <x:c r="R16" t="s">
        <x:v>173</x:v>
      </x:c>
      <x:c r="S16" t="s">
        <x:v>174</x:v>
      </x:c>
      <x:c r="T16" t="s">
        <x:v>175</x:v>
      </x:c>
      <x:c r="U16" t="s">
        <x:v>176</x:v>
      </x:c>
      <x:c r="W16" t="str">
        <x:v>36-inch</x:v>
      </x:c>
    </x:row>
    <x:row r="17">
      <x:c r="A17" t="s">
        <x:v>21</x:v>
      </x:c>
      <x:c r="B17" t="s">
        <x:v>41</x:v>
      </x:c>
      <x:c r="C17" t="s">
        <x:v>223</x:v>
      </x:c>
      <x:c r="D17" t="s">
        <x:v>42</x:v>
      </x:c>
      <x:c r="E17" t="s">
        <x:v>45</x:v>
      </x:c>
      <x:c r="F17" t="s">
        <x:v>194</x:v>
      </x:c>
      <x:c r="G17" t="s">
        <x:v>224</x:v>
      </x:c>
      <x:c r="H17" t="s">
        <x:v>225</x:v>
      </x:c>
      <x:c r="I17">
        <x:v>157</x:v>
      </x:c>
      <x:c r="J17">
        <x:v>31.4</x:v>
      </x:c>
      <x:c r="K17" t="n">
        <x:f>IF(J17="","",IF(J17&lt;10,'Price Rules'!$B$5,IF(J17&lt;=50,'Price Rules'!$B$6,'Price Rules'!$B$7)))</x:f>
        <x:v>4</x:v>
      </x:c>
      <x:c r="L17">
        <x:f t="shared" si="0"/>
        <x:v>126</x:v>
      </x:c>
      <x:c r="M17" t="s">
        <x:v>226</x:v>
      </x:c>
      <x:c r="N17" t="s">
        <x:v>171</x:v>
      </x:c>
      <x:c r="O17" t="str">
        <x:v>Ready Stock</x:v>
      </x:c>
      <x:c r="P17">
        <x:v>15</x:v>
      </x:c>
      <x:c r="Q17" t="s">
        <x:v>198</x:v>
      </x:c>
      <x:c r="R17" t="s">
        <x:v>173</x:v>
      </x:c>
      <x:c r="S17" t="s">
        <x:v>174</x:v>
      </x:c>
      <x:c r="T17" t="s">
        <x:v>175</x:v>
      </x:c>
      <x:c r="U17" t="s">
        <x:v>176</x:v>
      </x:c>
      <x:c r="W17" t="str">
        <x:v>40-inch</x:v>
      </x:c>
    </x:row>
    <x:row r="18">
      <x:c r="A18" t="s">
        <x:v>21</x:v>
      </x:c>
      <x:c r="B18" t="s">
        <x:v>41</x:v>
      </x:c>
      <x:c r="C18" t="s">
        <x:v>227</x:v>
      </x:c>
      <x:c r="D18" t="s">
        <x:v>42</x:v>
      </x:c>
      <x:c r="E18" t="s">
        <x:v>45</x:v>
      </x:c>
      <x:c r="F18" t="s">
        <x:v>194</x:v>
      </x:c>
      <x:c r="G18" t="s">
        <x:v>228</x:v>
      </x:c>
      <x:c r="H18" t="s">
        <x:v>229</x:v>
      </x:c>
      <x:c r="I18">
        <x:v>173</x:v>
      </x:c>
      <x:c r="J18">
        <x:v>34.6</x:v>
      </x:c>
      <x:c r="K18" t="n">
        <x:f>IF(J18="","",IF(J18&lt;10,'Price Rules'!$B$5,IF(J18&lt;=50,'Price Rules'!$B$6,'Price Rules'!$B$7)))</x:f>
        <x:v>4</x:v>
      </x:c>
      <x:c r="L18">
        <x:f t="shared" si="0"/>
        <x:v>138</x:v>
      </x:c>
      <x:c r="M18" t="s">
        <x:v>230</x:v>
      </x:c>
      <x:c r="N18" t="s">
        <x:v>171</x:v>
      </x:c>
      <x:c r="O18" t="str">
        <x:v>Ready Stock</x:v>
      </x:c>
      <x:c r="P18">
        <x:v>16</x:v>
      </x:c>
      <x:c r="Q18" t="s">
        <x:v>198</x:v>
      </x:c>
      <x:c r="R18" t="s">
        <x:v>173</x:v>
      </x:c>
      <x:c r="S18" t="s">
        <x:v>174</x:v>
      </x:c>
      <x:c r="T18" t="s">
        <x:v>175</x:v>
      </x:c>
      <x:c r="U18" t="s">
        <x:v>176</x:v>
      </x:c>
      <x:c r="W18" t="str">
        <x:v>48-inch</x:v>
      </x:c>
    </x:row>
    <x:row r="19">
      <x:c r="A19" t="s">
        <x:v>25</x:v>
      </x:c>
      <x:c r="B19" t="s">
        <x:v>46</x:v>
      </x:c>
      <x:c r="C19" t="s">
        <x:v>167</x:v>
      </x:c>
      <x:c r="D19" t="s">
        <x:v>47</x:v>
      </x:c>
      <x:c r="E19" t="s">
        <x:v>49</x:v>
      </x:c>
      <x:c r="F19" t="s">
        <x:v>168</x:v>
      </x:c>
      <x:c r="G19" t="s">
        <x:v>231</x:v>
      </x:c>
      <x:c r="H19" t="s">
        <x:v>232</x:v>
      </x:c>
      <x:c r="I19">
        <x:v>11.45</x:v>
      </x:c>
      <x:c r="J19">
        <x:v>2.29</x:v>
      </x:c>
      <x:c r="K19" t="n">
        <x:f>IF(J19="","",IF(J19&lt;10,'Price Rules'!$B$5,IF(J19&lt;=50,'Price Rules'!$B$6,'Price Rules'!$B$7)))</x:f>
        <x:v>5</x:v>
      </x:c>
      <x:c r="L19">
        <x:f t="shared" si="0"/>
        <x:v>11</x:v>
      </x:c>
      <x:c r="M19" t="s">
        <x:v>48</x:v>
      </x:c>
      <x:c r="N19" t="s">
        <x:v>171</x:v>
      </x:c>
      <x:c r="O19" t="str">
        <x:v>Ready Stock</x:v>
      </x:c>
      <x:c r="P19">
        <x:v>19</x:v>
      </x:c>
      <x:c r="Q19" t="s">
        <x:v>172</x:v>
      </x:c>
      <x:c r="R19" t="s">
        <x:v>233</x:v>
      </x:c>
      <x:c r="S19" t="s">
        <x:v>174</x:v>
      </x:c>
      <x:c r="T19" t="s">
        <x:v>175</x:v>
      </x:c>
      <x:c r="U19" t="s">
        <x:v>176</x:v>
      </x:c>
      <x:c r="W19" t="str">
        <x:v>7-inch</x:v>
      </x:c>
    </x:row>
    <x:row r="20">
      <x:c r="A20" t="s">
        <x:v>25</x:v>
      </x:c>
      <x:c r="B20" t="s">
        <x:v>46</x:v>
      </x:c>
      <x:c r="C20" t="s">
        <x:v>177</x:v>
      </x:c>
      <x:c r="D20" t="s">
        <x:v>47</x:v>
      </x:c>
      <x:c r="E20" t="s">
        <x:v>49</x:v>
      </x:c>
      <x:c r="F20" t="s">
        <x:v>168</x:v>
      </x:c>
      <x:c r="G20" t="s">
        <x:v>234</x:v>
      </x:c>
      <x:c r="H20" t="s">
        <x:v>235</x:v>
      </x:c>
      <x:c r="I20">
        <x:v>12.9</x:v>
      </x:c>
      <x:c r="J20">
        <x:v>2.58</x:v>
      </x:c>
      <x:c r="K20" t="n">
        <x:f>IF(J20="","",IF(J20&lt;10,'Price Rules'!$B$5,IF(J20&lt;=50,'Price Rules'!$B$6,'Price Rules'!$B$7)))</x:f>
        <x:v>5</x:v>
      </x:c>
      <x:c r="L20">
        <x:f t="shared" si="0"/>
        <x:v>13</x:v>
      </x:c>
      <x:c r="M20" t="s">
        <x:v>236</x:v>
      </x:c>
      <x:c r="N20" t="s">
        <x:v>171</x:v>
      </x:c>
      <x:c r="O20" t="str">
        <x:v>Ready Stock</x:v>
      </x:c>
      <x:c r="P20">
        <x:v>20</x:v>
      </x:c>
      <x:c r="Q20" t="s">
        <x:v>172</x:v>
      </x:c>
      <x:c r="R20" t="s">
        <x:v>233</x:v>
      </x:c>
      <x:c r="S20" t="s">
        <x:v>174</x:v>
      </x:c>
      <x:c r="T20" t="s">
        <x:v>175</x:v>
      </x:c>
      <x:c r="U20" t="s">
        <x:v>176</x:v>
      </x:c>
      <x:c r="W20" t="str">
        <x:v>8-inch</x:v>
      </x:c>
    </x:row>
    <x:row r="21">
      <x:c r="A21" t="s">
        <x:v>25</x:v>
      </x:c>
      <x:c r="B21" t="s">
        <x:v>46</x:v>
      </x:c>
      <x:c r="C21" t="s">
        <x:v>181</x:v>
      </x:c>
      <x:c r="D21" t="s">
        <x:v>47</x:v>
      </x:c>
      <x:c r="E21" t="s">
        <x:v>49</x:v>
      </x:c>
      <x:c r="F21" t="s">
        <x:v>168</x:v>
      </x:c>
      <x:c r="G21" t="s">
        <x:v>237</x:v>
      </x:c>
      <x:c r="H21" t="s">
        <x:v>238</x:v>
      </x:c>
      <x:c r="I21">
        <x:v>14.9</x:v>
      </x:c>
      <x:c r="J21">
        <x:v>2.98</x:v>
      </x:c>
      <x:c r="K21" t="n">
        <x:f>IF(J21="","",IF(J21&lt;10,'Price Rules'!$B$5,IF(J21&lt;=50,'Price Rules'!$B$6,'Price Rules'!$B$7)))</x:f>
        <x:v>5</x:v>
      </x:c>
      <x:c r="L21">
        <x:f t="shared" si="0"/>
        <x:v>15</x:v>
      </x:c>
      <x:c r="M21" t="s">
        <x:v>239</x:v>
      </x:c>
      <x:c r="N21" t="s">
        <x:v>171</x:v>
      </x:c>
      <x:c r="O21" t="str">
        <x:v>Ready Stock</x:v>
      </x:c>
      <x:c r="P21">
        <x:v>21</x:v>
      </x:c>
      <x:c r="Q21" t="s">
        <x:v>172</x:v>
      </x:c>
      <x:c r="R21" t="s">
        <x:v>233</x:v>
      </x:c>
      <x:c r="S21" t="s">
        <x:v>174</x:v>
      </x:c>
      <x:c r="T21" t="s">
        <x:v>175</x:v>
      </x:c>
      <x:c r="U21" t="s">
        <x:v>176</x:v>
      </x:c>
      <x:c r="W21" t="str">
        <x:v>10-inch</x:v>
      </x:c>
    </x:row>
    <x:row r="22">
      <x:c r="A22" t="s">
        <x:v>25</x:v>
      </x:c>
      <x:c r="B22" t="s">
        <x:v>46</x:v>
      </x:c>
      <x:c r="C22" t="s">
        <x:v>185</x:v>
      </x:c>
      <x:c r="D22" t="s">
        <x:v>47</x:v>
      </x:c>
      <x:c r="E22" t="s">
        <x:v>49</x:v>
      </x:c>
      <x:c r="F22" t="s">
        <x:v>168</x:v>
      </x:c>
      <x:c r="G22" t="s">
        <x:v>240</x:v>
      </x:c>
      <x:c r="H22" t="s">
        <x:v>241</x:v>
      </x:c>
      <x:c r="I22">
        <x:v>18.9</x:v>
      </x:c>
      <x:c r="J22">
        <x:v>3.78</x:v>
      </x:c>
      <x:c r="K22" t="n">
        <x:f>IF(J22="","",IF(J22&lt;10,'Price Rules'!$B$5,IF(J22&lt;=50,'Price Rules'!$B$6,'Price Rules'!$B$7)))</x:f>
        <x:v>5</x:v>
      </x:c>
      <x:c r="L22">
        <x:f t="shared" si="0"/>
        <x:v>19</x:v>
      </x:c>
      <x:c r="M22" t="s">
        <x:v>242</x:v>
      </x:c>
      <x:c r="N22" t="s">
        <x:v>171</x:v>
      </x:c>
      <x:c r="O22" t="str">
        <x:v>Ready Stock</x:v>
      </x:c>
      <x:c r="P22">
        <x:v>22</x:v>
      </x:c>
      <x:c r="Q22" t="s">
        <x:v>172</x:v>
      </x:c>
      <x:c r="R22" t="s">
        <x:v>233</x:v>
      </x:c>
      <x:c r="S22" t="s">
        <x:v>174</x:v>
      </x:c>
      <x:c r="T22" t="s">
        <x:v>175</x:v>
      </x:c>
      <x:c r="U22" t="s">
        <x:v>176</x:v>
      </x:c>
      <x:c r="W22" t="str">
        <x:v>12-inch</x:v>
      </x:c>
    </x:row>
    <x:row r="23">
      <x:c r="A23" t="s">
        <x:v>25</x:v>
      </x:c>
      <x:c r="B23" t="s">
        <x:v>46</x:v>
      </x:c>
      <x:c r="C23" t="s">
        <x:v>189</x:v>
      </x:c>
      <x:c r="D23" t="s">
        <x:v>47</x:v>
      </x:c>
      <x:c r="E23" t="s">
        <x:v>49</x:v>
      </x:c>
      <x:c r="F23" t="s">
        <x:v>168</x:v>
      </x:c>
      <x:c r="G23" t="s">
        <x:v>243</x:v>
      </x:c>
      <x:c r="H23" t="s">
        <x:v>244</x:v>
      </x:c>
      <x:c r="I23">
        <x:v>20.85</x:v>
      </x:c>
      <x:c r="J23">
        <x:v>4.17</x:v>
      </x:c>
      <x:c r="K23" t="n">
        <x:f>IF(J23="","",IF(J23&lt;10,'Price Rules'!$B$5,IF(J23&lt;=50,'Price Rules'!$B$6,'Price Rules'!$B$7)))</x:f>
        <x:v>5</x:v>
      </x:c>
      <x:c r="L23">
        <x:f t="shared" si="0"/>
        <x:v>21</x:v>
      </x:c>
      <x:c r="M23" t="s">
        <x:v>245</x:v>
      </x:c>
      <x:c r="N23" t="s">
        <x:v>171</x:v>
      </x:c>
      <x:c r="O23" t="str">
        <x:v>Ready Stock</x:v>
      </x:c>
      <x:c r="P23">
        <x:v>23</x:v>
      </x:c>
      <x:c r="Q23" t="s">
        <x:v>172</x:v>
      </x:c>
      <x:c r="R23" t="s">
        <x:v>233</x:v>
      </x:c>
      <x:c r="S23" t="s">
        <x:v>174</x:v>
      </x:c>
      <x:c r="T23" t="s">
        <x:v>175</x:v>
      </x:c>
      <x:c r="U23" t="s">
        <x:v>176</x:v>
      </x:c>
      <x:c r="W23" t="str">
        <x:v>14-inch</x:v>
      </x:c>
    </x:row>
    <x:row r="24">
      <x:c r="A24" t="s">
        <x:v>25</x:v>
      </x:c>
      <x:c r="B24" t="s">
        <x:v>46</x:v>
      </x:c>
      <x:c r="C24" t="s">
        <x:v>193</x:v>
      </x:c>
      <x:c r="D24" t="s">
        <x:v>47</x:v>
      </x:c>
      <x:c r="E24" t="s">
        <x:v>49</x:v>
      </x:c>
      <x:c r="F24" t="s">
        <x:v>194</x:v>
      </x:c>
      <x:c r="G24" t="s">
        <x:v>246</x:v>
      </x:c>
      <x:c r="H24" t="s">
        <x:v>247</x:v>
      </x:c>
      <x:c r="I24">
        <x:v>26.9</x:v>
      </x:c>
      <x:c r="J24">
        <x:v>5.38</x:v>
      </x:c>
      <x:c r="K24" t="n">
        <x:f>IF(J24="","",IF(J24&lt;10,'Price Rules'!$B$5,IF(J24&lt;=50,'Price Rules'!$B$6,'Price Rules'!$B$7)))</x:f>
        <x:v>5</x:v>
      </x:c>
      <x:c r="L24">
        <x:f t="shared" si="0"/>
        <x:v>27</x:v>
      </x:c>
      <x:c r="M24" t="s">
        <x:v>248</x:v>
      </x:c>
      <x:c r="N24" t="s">
        <x:v>171</x:v>
      </x:c>
      <x:c r="O24" t="str">
        <x:v>Ready Stock</x:v>
      </x:c>
      <x:c r="P24">
        <x:v>24</x:v>
      </x:c>
      <x:c r="Q24" t="s">
        <x:v>198</x:v>
      </x:c>
      <x:c r="R24" t="s">
        <x:v>233</x:v>
      </x:c>
      <x:c r="S24" t="s">
        <x:v>174</x:v>
      </x:c>
      <x:c r="T24" t="s">
        <x:v>175</x:v>
      </x:c>
      <x:c r="U24" t="s">
        <x:v>176</x:v>
      </x:c>
      <x:c r="W24" t="str">
        <x:v>16-inch</x:v>
      </x:c>
    </x:row>
    <x:row r="25">
      <x:c r="A25" t="s">
        <x:v>25</x:v>
      </x:c>
      <x:c r="B25" t="s">
        <x:v>46</x:v>
      </x:c>
      <x:c r="C25" t="s">
        <x:v>199</x:v>
      </x:c>
      <x:c r="D25" t="s">
        <x:v>47</x:v>
      </x:c>
      <x:c r="E25" t="s">
        <x:v>49</x:v>
      </x:c>
      <x:c r="F25" t="s">
        <x:v>194</x:v>
      </x:c>
      <x:c r="G25" t="s">
        <x:v>249</x:v>
      </x:c>
      <x:c r="H25" t="s">
        <x:v>250</x:v>
      </x:c>
      <x:c r="I25">
        <x:v>35.9</x:v>
      </x:c>
      <x:c r="J25">
        <x:v>7.18</x:v>
      </x:c>
      <x:c r="K25" t="n">
        <x:f>IF(J25="","",IF(J25&lt;10,'Price Rules'!$B$5,IF(J25&lt;=50,'Price Rules'!$B$6,'Price Rules'!$B$7)))</x:f>
        <x:v>5</x:v>
      </x:c>
      <x:c r="L25">
        <x:f t="shared" si="0"/>
        <x:v>36</x:v>
      </x:c>
      <x:c r="M25" t="s">
        <x:v>251</x:v>
      </x:c>
      <x:c r="N25" t="s">
        <x:v>171</x:v>
      </x:c>
      <x:c r="O25" t="str">
        <x:v>Ready Stock</x:v>
      </x:c>
      <x:c r="P25">
        <x:v>25</x:v>
      </x:c>
      <x:c r="Q25" t="s">
        <x:v>198</x:v>
      </x:c>
      <x:c r="R25" t="s">
        <x:v>233</x:v>
      </x:c>
      <x:c r="S25" t="s">
        <x:v>174</x:v>
      </x:c>
      <x:c r="T25" t="s">
        <x:v>175</x:v>
      </x:c>
      <x:c r="U25" t="s">
        <x:v>176</x:v>
      </x:c>
      <x:c r="W25" t="str">
        <x:v>18-inch</x:v>
      </x:c>
    </x:row>
    <x:row r="26">
      <x:c r="A26" t="s">
        <x:v>25</x:v>
      </x:c>
      <x:c r="B26" t="s">
        <x:v>46</x:v>
      </x:c>
      <x:c r="C26" t="s">
        <x:v>203</x:v>
      </x:c>
      <x:c r="D26" t="s">
        <x:v>47</x:v>
      </x:c>
      <x:c r="E26" t="s">
        <x:v>49</x:v>
      </x:c>
      <x:c r="F26" t="s">
        <x:v>194</x:v>
      </x:c>
      <x:c r="G26" t="s">
        <x:v>252</x:v>
      </x:c>
      <x:c r="H26" t="s">
        <x:v>253</x:v>
      </x:c>
      <x:c r="I26">
        <x:v>39.9</x:v>
      </x:c>
      <x:c r="J26">
        <x:v>7.98</x:v>
      </x:c>
      <x:c r="K26" t="n">
        <x:f>IF(J26="","",IF(J26&lt;10,'Price Rules'!$B$5,IF(J26&lt;=50,'Price Rules'!$B$6,'Price Rules'!$B$7)))</x:f>
        <x:v>5</x:v>
      </x:c>
      <x:c r="L26">
        <x:f t="shared" si="0"/>
        <x:v>40</x:v>
      </x:c>
      <x:c r="M26" t="s">
        <x:v>254</x:v>
      </x:c>
      <x:c r="N26" t="s">
        <x:v>171</x:v>
      </x:c>
      <x:c r="O26" t="str">
        <x:v>Ready Stock</x:v>
      </x:c>
      <x:c r="P26">
        <x:v>26</x:v>
      </x:c>
      <x:c r="Q26" t="s">
        <x:v>198</x:v>
      </x:c>
      <x:c r="R26" t="s">
        <x:v>233</x:v>
      </x:c>
      <x:c r="S26" t="s">
        <x:v>174</x:v>
      </x:c>
      <x:c r="T26" t="s">
        <x:v>175</x:v>
      </x:c>
      <x:c r="U26" t="s">
        <x:v>176</x:v>
      </x:c>
      <x:c r="W26" t="str">
        <x:v>20-inch</x:v>
      </x:c>
    </x:row>
    <x:row r="27">
      <x:c r="A27" t="s">
        <x:v>25</x:v>
      </x:c>
      <x:c r="B27" t="s">
        <x:v>46</x:v>
      </x:c>
      <x:c r="C27" t="s">
        <x:v>207</x:v>
      </x:c>
      <x:c r="D27" t="s">
        <x:v>47</x:v>
      </x:c>
      <x:c r="E27" t="s">
        <x:v>49</x:v>
      </x:c>
      <x:c r="F27" t="s">
        <x:v>194</x:v>
      </x:c>
      <x:c r="G27" t="s">
        <x:v>255</x:v>
      </x:c>
      <x:c r="H27" t="s">
        <x:v>256</x:v>
      </x:c>
      <x:c r="I27">
        <x:v>48.9</x:v>
      </x:c>
      <x:c r="J27">
        <x:v>9.78</x:v>
      </x:c>
      <x:c r="K27" t="n">
        <x:f>IF(J27="","",IF(J27&lt;10,'Price Rules'!$B$5,IF(J27&lt;=50,'Price Rules'!$B$6,'Price Rules'!$B$7)))</x:f>
        <x:v>5</x:v>
      </x:c>
      <x:c r="L27">
        <x:f t="shared" si="0"/>
        <x:v>49</x:v>
      </x:c>
      <x:c r="M27" t="s">
        <x:v>257</x:v>
      </x:c>
      <x:c r="N27" t="s">
        <x:v>171</x:v>
      </x:c>
      <x:c r="O27" t="str">
        <x:v>Ready Stock</x:v>
      </x:c>
      <x:c r="P27">
        <x:v>27</x:v>
      </x:c>
      <x:c r="Q27" t="s">
        <x:v>198</x:v>
      </x:c>
      <x:c r="R27" t="s">
        <x:v>233</x:v>
      </x:c>
      <x:c r="S27" t="s">
        <x:v>174</x:v>
      </x:c>
      <x:c r="T27" t="s">
        <x:v>175</x:v>
      </x:c>
      <x:c r="U27" t="s">
        <x:v>176</x:v>
      </x:c>
      <x:c r="W27" t="str">
        <x:v>24-small</x:v>
      </x:c>
    </x:row>
    <x:row r="28">
      <x:c r="A28" t="s">
        <x:v>25</x:v>
      </x:c>
      <x:c r="B28" t="s">
        <x:v>46</x:v>
      </x:c>
      <x:c r="C28" t="s">
        <x:v>211</x:v>
      </x:c>
      <x:c r="D28" t="s">
        <x:v>47</x:v>
      </x:c>
      <x:c r="E28" t="s">
        <x:v>49</x:v>
      </x:c>
      <x:c r="F28" t="s">
        <x:v>194</x:v>
      </x:c>
      <x:c r="G28" t="s">
        <x:v>258</x:v>
      </x:c>
      <x:c r="H28" t="s">
        <x:v>259</x:v>
      </x:c>
      <x:c r="I28">
        <x:v>72.5</x:v>
      </x:c>
      <x:c r="J28">
        <x:v>14.5</x:v>
      </x:c>
      <x:c r="K28" t="n">
        <x:f>IF(J28="","",IF(J28&lt;10,'Price Rules'!$B$5,IF(J28&lt;=50,'Price Rules'!$B$6,'Price Rules'!$B$7)))</x:f>
        <x:v>4</x:v>
      </x:c>
      <x:c r="L28">
        <x:f t="shared" si="0"/>
        <x:v>58</x:v>
      </x:c>
      <x:c r="M28" t="s">
        <x:v>260</x:v>
      </x:c>
      <x:c r="N28" t="s">
        <x:v>171</x:v>
      </x:c>
      <x:c r="O28" t="str">
        <x:v>Ready Stock</x:v>
      </x:c>
      <x:c r="P28">
        <x:v>28</x:v>
      </x:c>
      <x:c r="Q28" t="s">
        <x:v>198</x:v>
      </x:c>
      <x:c r="R28" t="s">
        <x:v>233</x:v>
      </x:c>
      <x:c r="S28" t="s">
        <x:v>174</x:v>
      </x:c>
      <x:c r="T28" t="s">
        <x:v>175</x:v>
      </x:c>
      <x:c r="U28" t="s">
        <x:v>176</x:v>
      </x:c>
      <x:c r="W28" t="str">
        <x:v>30-inch</x:v>
      </x:c>
    </x:row>
    <x:row r="29">
      <x:c r="A29" t="s">
        <x:v>25</x:v>
      </x:c>
      <x:c r="B29" t="s">
        <x:v>46</x:v>
      </x:c>
      <x:c r="C29" t="s">
        <x:v>215</x:v>
      </x:c>
      <x:c r="D29" t="s">
        <x:v>47</x:v>
      </x:c>
      <x:c r="E29" t="s">
        <x:v>49</x:v>
      </x:c>
      <x:c r="F29" t="s">
        <x:v>194</x:v>
      </x:c>
      <x:c r="G29" t="s">
        <x:v>261</x:v>
      </x:c>
      <x:c r="H29" t="s">
        <x:v>262</x:v>
      </x:c>
      <x:c r="I29">
        <x:v>82.8</x:v>
      </x:c>
      <x:c r="J29">
        <x:v>16.56</x:v>
      </x:c>
      <x:c r="K29" t="n">
        <x:f>IF(J29="","",IF(J29&lt;10,'Price Rules'!$B$5,IF(J29&lt;=50,'Price Rules'!$B$6,'Price Rules'!$B$7)))</x:f>
        <x:v>4</x:v>
      </x:c>
      <x:c r="L29">
        <x:f t="shared" si="0"/>
        <x:v>66</x:v>
      </x:c>
      <x:c r="M29" t="s">
        <x:v>263</x:v>
      </x:c>
      <x:c r="N29" t="s">
        <x:v>171</x:v>
      </x:c>
      <x:c r="O29" t="str">
        <x:v>Ready Stock</x:v>
      </x:c>
      <x:c r="P29">
        <x:v>29</x:v>
      </x:c>
      <x:c r="Q29" t="s">
        <x:v>198</x:v>
      </x:c>
      <x:c r="R29" t="s">
        <x:v>233</x:v>
      </x:c>
      <x:c r="S29" t="s">
        <x:v>174</x:v>
      </x:c>
      <x:c r="T29" t="s">
        <x:v>175</x:v>
      </x:c>
      <x:c r="U29" t="s">
        <x:v>176</x:v>
      </x:c>
      <x:c r="W29" t="str">
        <x:v>32-inch</x:v>
      </x:c>
    </x:row>
    <x:row r="30">
      <x:c r="A30" t="s">
        <x:v>25</x:v>
      </x:c>
      <x:c r="B30" t="s">
        <x:v>46</x:v>
      </x:c>
      <x:c r="C30" t="s">
        <x:v>219</x:v>
      </x:c>
      <x:c r="D30" t="s">
        <x:v>47</x:v>
      </x:c>
      <x:c r="E30" t="s">
        <x:v>49</x:v>
      </x:c>
      <x:c r="F30" t="s">
        <x:v>194</x:v>
      </x:c>
      <x:c r="G30" t="s">
        <x:v>264</x:v>
      </x:c>
      <x:c r="H30" t="s">
        <x:v>265</x:v>
      </x:c>
      <x:c r="I30">
        <x:v>100.8</x:v>
      </x:c>
      <x:c r="J30">
        <x:v>20.16</x:v>
      </x:c>
      <x:c r="K30" t="n">
        <x:f>IF(J30="","",IF(J30&lt;10,'Price Rules'!$B$5,IF(J30&lt;=50,'Price Rules'!$B$6,'Price Rules'!$B$7)))</x:f>
        <x:v>4</x:v>
      </x:c>
      <x:c r="L30">
        <x:f t="shared" si="0"/>
        <x:v>81</x:v>
      </x:c>
      <x:c r="M30" t="s">
        <x:v>266</x:v>
      </x:c>
      <x:c r="N30" t="s">
        <x:v>171</x:v>
      </x:c>
      <x:c r="O30" t="str">
        <x:v>Ready Stock</x:v>
      </x:c>
      <x:c r="P30">
        <x:v>30</x:v>
      </x:c>
      <x:c r="Q30" t="s">
        <x:v>198</x:v>
      </x:c>
      <x:c r="R30" t="s">
        <x:v>233</x:v>
      </x:c>
      <x:c r="S30" t="s">
        <x:v>174</x:v>
      </x:c>
      <x:c r="T30" t="s">
        <x:v>175</x:v>
      </x:c>
      <x:c r="U30" t="s">
        <x:v>176</x:v>
      </x:c>
      <x:c r="W30" t="str">
        <x:v>36-inch</x:v>
      </x:c>
    </x:row>
    <x:row r="31">
      <x:c r="A31" t="s">
        <x:v>25</x:v>
      </x:c>
      <x:c r="B31" t="s">
        <x:v>46</x:v>
      </x:c>
      <x:c r="C31" t="s">
        <x:v>223</x:v>
      </x:c>
      <x:c r="D31" t="s">
        <x:v>47</x:v>
      </x:c>
      <x:c r="E31" t="s">
        <x:v>49</x:v>
      </x:c>
      <x:c r="F31" t="s">
        <x:v>194</x:v>
      </x:c>
      <x:c r="G31" t="s">
        <x:v>267</x:v>
      </x:c>
      <x:c r="H31" t="s">
        <x:v>268</x:v>
      </x:c>
      <x:c r="I31">
        <x:v>123.8</x:v>
      </x:c>
      <x:c r="J31">
        <x:v>24.76</x:v>
      </x:c>
      <x:c r="K31" t="n">
        <x:f>IF(J31="","",IF(J31&lt;10,'Price Rules'!$B$5,IF(J31&lt;=50,'Price Rules'!$B$6,'Price Rules'!$B$7)))</x:f>
        <x:v>4</x:v>
      </x:c>
      <x:c r="L31">
        <x:f t="shared" si="0"/>
        <x:v>99</x:v>
      </x:c>
      <x:c r="M31" t="s">
        <x:v>269</x:v>
      </x:c>
      <x:c r="N31" t="s">
        <x:v>171</x:v>
      </x:c>
      <x:c r="O31" t="str">
        <x:v>Ready Stock</x:v>
      </x:c>
      <x:c r="P31">
        <x:v>31</x:v>
      </x:c>
      <x:c r="Q31" t="s">
        <x:v>198</x:v>
      </x:c>
      <x:c r="R31" t="s">
        <x:v>233</x:v>
      </x:c>
      <x:c r="S31" t="s">
        <x:v>174</x:v>
      </x:c>
      <x:c r="T31" t="s">
        <x:v>175</x:v>
      </x:c>
      <x:c r="U31" t="s">
        <x:v>176</x:v>
      </x:c>
      <x:c r="W31" t="str">
        <x:v>40-inch</x:v>
      </x:c>
    </x:row>
    <x:row r="32">
      <x:c r="A32" t="s">
        <x:v>25</x:v>
      </x:c>
      <x:c r="B32" t="s">
        <x:v>46</x:v>
      </x:c>
      <x:c r="C32" t="s">
        <x:v>227</x:v>
      </x:c>
      <x:c r="D32" t="s">
        <x:v>47</x:v>
      </x:c>
      <x:c r="E32" t="s">
        <x:v>49</x:v>
      </x:c>
      <x:c r="F32" t="s">
        <x:v>194</x:v>
      </x:c>
      <x:c r="G32" t="s">
        <x:v>270</x:v>
      </x:c>
      <x:c r="H32" t="s">
        <x:v>271</x:v>
      </x:c>
      <x:c r="I32">
        <x:v>149.9</x:v>
      </x:c>
      <x:c r="J32">
        <x:v>29.98</x:v>
      </x:c>
      <x:c r="K32" t="n">
        <x:f>IF(J32="","",IF(J32&lt;10,'Price Rules'!$B$5,IF(J32&lt;=50,'Price Rules'!$B$6,'Price Rules'!$B$7)))</x:f>
        <x:v>4</x:v>
      </x:c>
      <x:c r="L32">
        <x:f t="shared" si="0"/>
        <x:v>120</x:v>
      </x:c>
      <x:c r="M32" t="s">
        <x:v>272</x:v>
      </x:c>
      <x:c r="N32" t="s">
        <x:v>171</x:v>
      </x:c>
      <x:c r="O32" t="str">
        <x:v>Ready Stock</x:v>
      </x:c>
      <x:c r="P32">
        <x:v>32</x:v>
      </x:c>
      <x:c r="Q32" t="s">
        <x:v>198</x:v>
      </x:c>
      <x:c r="R32" t="s">
        <x:v>233</x:v>
      </x:c>
      <x:c r="S32" t="s">
        <x:v>174</x:v>
      </x:c>
      <x:c r="T32" t="s">
        <x:v>175</x:v>
      </x:c>
      <x:c r="U32" t="s">
        <x:v>176</x:v>
      </x:c>
      <x:c r="W32" t="str">
        <x:v>48-inch</x:v>
      </x:c>
    </x:row>
    <x:row r="33">
      <x:c r="A33" t="s">
        <x:v>25</x:v>
      </x:c>
      <x:c r="B33" t="s">
        <x:v>50</x:v>
      </x:c>
      <x:c r="C33" t="s">
        <x:v>167</x:v>
      </x:c>
      <x:c r="D33" t="s">
        <x:v>51</x:v>
      </x:c>
      <x:c r="E33" t="s">
        <x:v>53</x:v>
      </x:c>
      <x:c r="F33" t="s">
        <x:v>168</x:v>
      </x:c>
      <x:c r="G33" t="s">
        <x:v>273</x:v>
      </x:c>
      <x:c r="H33" t="s">
        <x:v>274</x:v>
      </x:c>
      <x:c r="I33">
        <x:v>11.45</x:v>
      </x:c>
      <x:c r="J33">
        <x:v>2.29</x:v>
      </x:c>
      <x:c r="K33" t="n">
        <x:f>IF(J33="","",IF(J33&lt;10,'Price Rules'!$B$5,IF(J33&lt;=50,'Price Rules'!$B$6,'Price Rules'!$B$7)))</x:f>
        <x:v>5</x:v>
      </x:c>
      <x:c r="L33">
        <x:f t="shared" si="0"/>
        <x:v>11</x:v>
      </x:c>
      <x:c r="M33" t="s">
        <x:v>52</x:v>
      </x:c>
      <x:c r="N33" t="s">
        <x:v>171</x:v>
      </x:c>
      <x:c r="O33" t="str">
        <x:v>Ready Stock</x:v>
      </x:c>
      <x:c r="P33">
        <x:v>35</x:v>
      </x:c>
      <x:c r="Q33" t="s">
        <x:v>172</x:v>
      </x:c>
      <x:c r="R33" t="s">
        <x:v>275</x:v>
      </x:c>
      <x:c r="S33" t="s">
        <x:v>174</x:v>
      </x:c>
      <x:c r="T33" t="s">
        <x:v>175</x:v>
      </x:c>
      <x:c r="U33" t="s">
        <x:v>176</x:v>
      </x:c>
      <x:c r="W33" t="str">
        <x:v>7-inch</x:v>
      </x:c>
    </x:row>
    <x:row r="34">
      <x:c r="A34" t="s">
        <x:v>25</x:v>
      </x:c>
      <x:c r="B34" t="s">
        <x:v>50</x:v>
      </x:c>
      <x:c r="C34" t="s">
        <x:v>177</x:v>
      </x:c>
      <x:c r="D34" t="s">
        <x:v>51</x:v>
      </x:c>
      <x:c r="E34" t="s">
        <x:v>53</x:v>
      </x:c>
      <x:c r="F34" t="s">
        <x:v>168</x:v>
      </x:c>
      <x:c r="G34" t="s">
        <x:v>276</x:v>
      </x:c>
      <x:c r="H34" t="s">
        <x:v>274</x:v>
      </x:c>
      <x:c r="I34">
        <x:v>12.9</x:v>
      </x:c>
      <x:c r="J34">
        <x:v>2.58</x:v>
      </x:c>
      <x:c r="K34" t="n">
        <x:f>IF(J34="","",IF(J34&lt;10,'Price Rules'!$B$5,IF(J34&lt;=50,'Price Rules'!$B$6,'Price Rules'!$B$7)))</x:f>
        <x:v>5</x:v>
      </x:c>
      <x:c r="L34">
        <x:f t="shared" si="0"/>
        <x:v>13</x:v>
      </x:c>
      <x:c r="M34" t="s">
        <x:v>277</x:v>
      </x:c>
      <x:c r="N34" t="s">
        <x:v>171</x:v>
      </x:c>
      <x:c r="O34" t="str">
        <x:v>Ready Stock</x:v>
      </x:c>
      <x:c r="P34">
        <x:v>36</x:v>
      </x:c>
      <x:c r="Q34" t="s">
        <x:v>172</x:v>
      </x:c>
      <x:c r="R34" t="s">
        <x:v>275</x:v>
      </x:c>
      <x:c r="S34" t="s">
        <x:v>174</x:v>
      </x:c>
      <x:c r="T34" t="s">
        <x:v>175</x:v>
      </x:c>
      <x:c r="U34" t="s">
        <x:v>176</x:v>
      </x:c>
      <x:c r="W34" t="str">
        <x:v>8-inch</x:v>
      </x:c>
    </x:row>
    <x:row r="35">
      <x:c r="A35" t="s">
        <x:v>25</x:v>
      </x:c>
      <x:c r="B35" t="s">
        <x:v>50</x:v>
      </x:c>
      <x:c r="C35" t="s">
        <x:v>181</x:v>
      </x:c>
      <x:c r="D35" t="s">
        <x:v>51</x:v>
      </x:c>
      <x:c r="E35" t="s">
        <x:v>53</x:v>
      </x:c>
      <x:c r="F35" t="s">
        <x:v>168</x:v>
      </x:c>
      <x:c r="G35" t="s">
        <x:v>278</x:v>
      </x:c>
      <x:c r="H35" t="s">
        <x:v>274</x:v>
      </x:c>
      <x:c r="I35">
        <x:v>14.9</x:v>
      </x:c>
      <x:c r="J35">
        <x:v>2.98</x:v>
      </x:c>
      <x:c r="K35" t="n">
        <x:f>IF(J35="","",IF(J35&lt;10,'Price Rules'!$B$5,IF(J35&lt;=50,'Price Rules'!$B$6,'Price Rules'!$B$7)))</x:f>
        <x:v>5</x:v>
      </x:c>
      <x:c r="L35">
        <x:f t="shared" si="0"/>
        <x:v>15</x:v>
      </x:c>
      <x:c r="M35" t="s">
        <x:v>279</x:v>
      </x:c>
      <x:c r="N35" t="s">
        <x:v>171</x:v>
      </x:c>
      <x:c r="O35" t="str">
        <x:v>Ready Stock</x:v>
      </x:c>
      <x:c r="P35">
        <x:v>37</x:v>
      </x:c>
      <x:c r="Q35" t="s">
        <x:v>172</x:v>
      </x:c>
      <x:c r="R35" t="s">
        <x:v>275</x:v>
      </x:c>
      <x:c r="S35" t="s">
        <x:v>174</x:v>
      </x:c>
      <x:c r="T35" t="s">
        <x:v>175</x:v>
      </x:c>
      <x:c r="U35" t="s">
        <x:v>176</x:v>
      </x:c>
      <x:c r="W35" t="str">
        <x:v>10-inch</x:v>
      </x:c>
    </x:row>
    <x:row r="36">
      <x:c r="A36" t="s">
        <x:v>25</x:v>
      </x:c>
      <x:c r="B36" t="s">
        <x:v>50</x:v>
      </x:c>
      <x:c r="C36" t="s">
        <x:v>185</x:v>
      </x:c>
      <x:c r="D36" t="s">
        <x:v>51</x:v>
      </x:c>
      <x:c r="E36" t="s">
        <x:v>53</x:v>
      </x:c>
      <x:c r="F36" t="s">
        <x:v>168</x:v>
      </x:c>
      <x:c r="G36" t="s">
        <x:v>280</x:v>
      </x:c>
      <x:c r="H36" t="s">
        <x:v>274</x:v>
      </x:c>
      <x:c r="I36">
        <x:v>18.9</x:v>
      </x:c>
      <x:c r="J36">
        <x:v>3.78</x:v>
      </x:c>
      <x:c r="K36" t="n">
        <x:f>IF(J36="","",IF(J36&lt;10,'Price Rules'!$B$5,IF(J36&lt;=50,'Price Rules'!$B$6,'Price Rules'!$B$7)))</x:f>
        <x:v>5</x:v>
      </x:c>
      <x:c r="L36">
        <x:f t="shared" si="0"/>
        <x:v>19</x:v>
      </x:c>
      <x:c r="M36" t="s">
        <x:v>281</x:v>
      </x:c>
      <x:c r="N36" t="s">
        <x:v>171</x:v>
      </x:c>
      <x:c r="O36" t="str">
        <x:v>Ready Stock</x:v>
      </x:c>
      <x:c r="P36">
        <x:v>38</x:v>
      </x:c>
      <x:c r="Q36" t="s">
        <x:v>172</x:v>
      </x:c>
      <x:c r="R36" t="s">
        <x:v>275</x:v>
      </x:c>
      <x:c r="S36" t="s">
        <x:v>174</x:v>
      </x:c>
      <x:c r="T36" t="s">
        <x:v>175</x:v>
      </x:c>
      <x:c r="U36" t="s">
        <x:v>176</x:v>
      </x:c>
      <x:c r="W36" t="str">
        <x:v>12-inch</x:v>
      </x:c>
    </x:row>
    <x:row r="37">
      <x:c r="A37" t="s">
        <x:v>25</x:v>
      </x:c>
      <x:c r="B37" t="s">
        <x:v>50</x:v>
      </x:c>
      <x:c r="C37" t="s">
        <x:v>189</x:v>
      </x:c>
      <x:c r="D37" t="s">
        <x:v>51</x:v>
      </x:c>
      <x:c r="E37" t="s">
        <x:v>53</x:v>
      </x:c>
      <x:c r="F37" t="s">
        <x:v>168</x:v>
      </x:c>
      <x:c r="G37" t="s">
        <x:v>282</x:v>
      </x:c>
      <x:c r="H37" t="s">
        <x:v>274</x:v>
      </x:c>
      <x:c r="I37">
        <x:v>20.85</x:v>
      </x:c>
      <x:c r="J37">
        <x:v>4.17</x:v>
      </x:c>
      <x:c r="K37" t="n">
        <x:f>IF(J37="","",IF(J37&lt;10,'Price Rules'!$B$5,IF(J37&lt;=50,'Price Rules'!$B$6,'Price Rules'!$B$7)))</x:f>
        <x:v>5</x:v>
      </x:c>
      <x:c r="L37">
        <x:f t="shared" si="0"/>
        <x:v>21</x:v>
      </x:c>
      <x:c r="M37" t="s">
        <x:v>283</x:v>
      </x:c>
      <x:c r="N37" t="s">
        <x:v>171</x:v>
      </x:c>
      <x:c r="O37" t="str">
        <x:v>Ready Stock</x:v>
      </x:c>
      <x:c r="P37">
        <x:v>39</x:v>
      </x:c>
      <x:c r="Q37" t="s">
        <x:v>172</x:v>
      </x:c>
      <x:c r="R37" t="s">
        <x:v>275</x:v>
      </x:c>
      <x:c r="S37" t="s">
        <x:v>174</x:v>
      </x:c>
      <x:c r="T37" t="s">
        <x:v>175</x:v>
      </x:c>
      <x:c r="U37" t="s">
        <x:v>176</x:v>
      </x:c>
      <x:c r="W37" t="str">
        <x:v>14-inch</x:v>
      </x:c>
    </x:row>
    <x:row r="38">
      <x:c r="A38" t="s">
        <x:v>25</x:v>
      </x:c>
      <x:c r="B38" t="s">
        <x:v>50</x:v>
      </x:c>
      <x:c r="C38" t="s">
        <x:v>193</x:v>
      </x:c>
      <x:c r="D38" t="s">
        <x:v>51</x:v>
      </x:c>
      <x:c r="E38" t="s">
        <x:v>53</x:v>
      </x:c>
      <x:c r="F38" t="s">
        <x:v>194</x:v>
      </x:c>
      <x:c r="G38" t="s">
        <x:v>284</x:v>
      </x:c>
      <x:c r="H38" t="s">
        <x:v>274</x:v>
      </x:c>
      <x:c r="I38">
        <x:v>26.9</x:v>
      </x:c>
      <x:c r="J38">
        <x:v>5.38</x:v>
      </x:c>
      <x:c r="K38" t="n">
        <x:f>IF(J38="","",IF(J38&lt;10,'Price Rules'!$B$5,IF(J38&lt;=50,'Price Rules'!$B$6,'Price Rules'!$B$7)))</x:f>
        <x:v>5</x:v>
      </x:c>
      <x:c r="L38">
        <x:f t="shared" si="0"/>
        <x:v>27</x:v>
      </x:c>
      <x:c r="M38" t="s">
        <x:v>285</x:v>
      </x:c>
      <x:c r="N38" t="s">
        <x:v>171</x:v>
      </x:c>
      <x:c r="O38" t="str">
        <x:v>Ready Stock</x:v>
      </x:c>
      <x:c r="P38">
        <x:v>40</x:v>
      </x:c>
      <x:c r="Q38" t="s">
        <x:v>198</x:v>
      </x:c>
      <x:c r="R38" t="s">
        <x:v>275</x:v>
      </x:c>
      <x:c r="S38" t="s">
        <x:v>174</x:v>
      </x:c>
      <x:c r="T38" t="s">
        <x:v>175</x:v>
      </x:c>
      <x:c r="U38" t="s">
        <x:v>176</x:v>
      </x:c>
      <x:c r="W38" t="str">
        <x:v>16-inch</x:v>
      </x:c>
    </x:row>
    <x:row r="39">
      <x:c r="A39" t="s">
        <x:v>25</x:v>
      </x:c>
      <x:c r="B39" t="s">
        <x:v>50</x:v>
      </x:c>
      <x:c r="C39" t="s">
        <x:v>199</x:v>
      </x:c>
      <x:c r="D39" t="s">
        <x:v>51</x:v>
      </x:c>
      <x:c r="E39" t="s">
        <x:v>53</x:v>
      </x:c>
      <x:c r="F39" t="s">
        <x:v>194</x:v>
      </x:c>
      <x:c r="G39" t="s">
        <x:v>286</x:v>
      </x:c>
      <x:c r="H39" t="s">
        <x:v>274</x:v>
      </x:c>
      <x:c r="I39">
        <x:v>35.9</x:v>
      </x:c>
      <x:c r="J39">
        <x:v>7.18</x:v>
      </x:c>
      <x:c r="K39" t="n">
        <x:f>IF(J39="","",IF(J39&lt;10,'Price Rules'!$B$5,IF(J39&lt;=50,'Price Rules'!$B$6,'Price Rules'!$B$7)))</x:f>
        <x:v>5</x:v>
      </x:c>
      <x:c r="L39">
        <x:f t="shared" si="0"/>
        <x:v>36</x:v>
      </x:c>
      <x:c r="M39" t="s">
        <x:v>287</x:v>
      </x:c>
      <x:c r="N39" t="s">
        <x:v>171</x:v>
      </x:c>
      <x:c r="O39" t="str">
        <x:v>Ready Stock</x:v>
      </x:c>
      <x:c r="P39">
        <x:v>41</x:v>
      </x:c>
      <x:c r="Q39" t="s">
        <x:v>198</x:v>
      </x:c>
      <x:c r="R39" t="s">
        <x:v>275</x:v>
      </x:c>
      <x:c r="S39" t="s">
        <x:v>174</x:v>
      </x:c>
      <x:c r="T39" t="s">
        <x:v>175</x:v>
      </x:c>
      <x:c r="U39" t="s">
        <x:v>176</x:v>
      </x:c>
      <x:c r="W39" t="str">
        <x:v>18-inch</x:v>
      </x:c>
    </x:row>
    <x:row r="40">
      <x:c r="A40" t="s">
        <x:v>25</x:v>
      </x:c>
      <x:c r="B40" t="s">
        <x:v>50</x:v>
      </x:c>
      <x:c r="C40" t="s">
        <x:v>203</x:v>
      </x:c>
      <x:c r="D40" t="s">
        <x:v>51</x:v>
      </x:c>
      <x:c r="E40" t="s">
        <x:v>53</x:v>
      </x:c>
      <x:c r="F40" t="s">
        <x:v>194</x:v>
      </x:c>
      <x:c r="G40" t="s">
        <x:v>288</x:v>
      </x:c>
      <x:c r="H40" t="s">
        <x:v>274</x:v>
      </x:c>
      <x:c r="I40">
        <x:v>39.9</x:v>
      </x:c>
      <x:c r="J40">
        <x:v>7.98</x:v>
      </x:c>
      <x:c r="K40" t="n">
        <x:f>IF(J40="","",IF(J40&lt;10,'Price Rules'!$B$5,IF(J40&lt;=50,'Price Rules'!$B$6,'Price Rules'!$B$7)))</x:f>
        <x:v>5</x:v>
      </x:c>
      <x:c r="L40">
        <x:f t="shared" si="0"/>
        <x:v>40</x:v>
      </x:c>
      <x:c r="M40" t="s">
        <x:v>289</x:v>
      </x:c>
      <x:c r="N40" t="s">
        <x:v>171</x:v>
      </x:c>
      <x:c r="O40" t="str">
        <x:v>Ready Stock</x:v>
      </x:c>
      <x:c r="P40">
        <x:v>42</x:v>
      </x:c>
      <x:c r="Q40" t="s">
        <x:v>198</x:v>
      </x:c>
      <x:c r="R40" t="s">
        <x:v>275</x:v>
      </x:c>
      <x:c r="S40" t="s">
        <x:v>174</x:v>
      </x:c>
      <x:c r="T40" t="s">
        <x:v>175</x:v>
      </x:c>
      <x:c r="U40" t="s">
        <x:v>176</x:v>
      </x:c>
      <x:c r="W40" t="str">
        <x:v>20-inch</x:v>
      </x:c>
    </x:row>
    <x:row r="41">
      <x:c r="A41" t="s">
        <x:v>25</x:v>
      </x:c>
      <x:c r="B41" t="s">
        <x:v>50</x:v>
      </x:c>
      <x:c r="C41" t="s">
        <x:v>207</x:v>
      </x:c>
      <x:c r="D41" t="s">
        <x:v>51</x:v>
      </x:c>
      <x:c r="E41" t="s">
        <x:v>53</x:v>
      </x:c>
      <x:c r="F41" t="s">
        <x:v>194</x:v>
      </x:c>
      <x:c r="G41" t="s">
        <x:v>290</x:v>
      </x:c>
      <x:c r="H41" t="s">
        <x:v>274</x:v>
      </x:c>
      <x:c r="I41">
        <x:v>48.9</x:v>
      </x:c>
      <x:c r="J41">
        <x:v>9.78</x:v>
      </x:c>
      <x:c r="K41" t="n">
        <x:f>IF(J41="","",IF(J41&lt;10,'Price Rules'!$B$5,IF(J41&lt;=50,'Price Rules'!$B$6,'Price Rules'!$B$7)))</x:f>
        <x:v>5</x:v>
      </x:c>
      <x:c r="L41">
        <x:f t="shared" si="0"/>
        <x:v>49</x:v>
      </x:c>
      <x:c r="M41" t="s">
        <x:v>291</x:v>
      </x:c>
      <x:c r="N41" t="s">
        <x:v>171</x:v>
      </x:c>
      <x:c r="O41" t="str">
        <x:v>Ready Stock</x:v>
      </x:c>
      <x:c r="P41">
        <x:v>43</x:v>
      </x:c>
      <x:c r="Q41" t="s">
        <x:v>198</x:v>
      </x:c>
      <x:c r="R41" t="s">
        <x:v>275</x:v>
      </x:c>
      <x:c r="S41" t="s">
        <x:v>174</x:v>
      </x:c>
      <x:c r="T41" t="s">
        <x:v>175</x:v>
      </x:c>
      <x:c r="U41" t="s">
        <x:v>176</x:v>
      </x:c>
      <x:c r="W41" t="str">
        <x:v>24-small</x:v>
      </x:c>
    </x:row>
    <x:row r="42">
      <x:c r="A42" t="s">
        <x:v>25</x:v>
      </x:c>
      <x:c r="B42" t="s">
        <x:v>50</x:v>
      </x:c>
      <x:c r="C42" t="s">
        <x:v>211</x:v>
      </x:c>
      <x:c r="D42" t="s">
        <x:v>51</x:v>
      </x:c>
      <x:c r="E42" t="s">
        <x:v>53</x:v>
      </x:c>
      <x:c r="F42" t="s">
        <x:v>194</x:v>
      </x:c>
      <x:c r="G42" t="s">
        <x:v>292</x:v>
      </x:c>
      <x:c r="H42" t="s">
        <x:v>274</x:v>
      </x:c>
      <x:c r="I42">
        <x:v>72.5</x:v>
      </x:c>
      <x:c r="J42">
        <x:v>14.5</x:v>
      </x:c>
      <x:c r="K42" t="n">
        <x:f>IF(J42="","",IF(J42&lt;10,'Price Rules'!$B$5,IF(J42&lt;=50,'Price Rules'!$B$6,'Price Rules'!$B$7)))</x:f>
        <x:v>4</x:v>
      </x:c>
      <x:c r="L42">
        <x:f t="shared" si="0"/>
        <x:v>58</x:v>
      </x:c>
      <x:c r="M42" t="s">
        <x:v>293</x:v>
      </x:c>
      <x:c r="N42" t="s">
        <x:v>171</x:v>
      </x:c>
      <x:c r="O42" t="str">
        <x:v>Ready Stock</x:v>
      </x:c>
      <x:c r="P42">
        <x:v>44</x:v>
      </x:c>
      <x:c r="Q42" t="s">
        <x:v>198</x:v>
      </x:c>
      <x:c r="R42" t="s">
        <x:v>275</x:v>
      </x:c>
      <x:c r="S42" t="s">
        <x:v>174</x:v>
      </x:c>
      <x:c r="T42" t="s">
        <x:v>175</x:v>
      </x:c>
      <x:c r="U42" t="s">
        <x:v>176</x:v>
      </x:c>
      <x:c r="W42" t="str">
        <x:v>30-inch</x:v>
      </x:c>
    </x:row>
    <x:row r="43">
      <x:c r="A43" t="s">
        <x:v>25</x:v>
      </x:c>
      <x:c r="B43" t="s">
        <x:v>50</x:v>
      </x:c>
      <x:c r="C43" t="s">
        <x:v>215</x:v>
      </x:c>
      <x:c r="D43" t="s">
        <x:v>51</x:v>
      </x:c>
      <x:c r="E43" t="s">
        <x:v>53</x:v>
      </x:c>
      <x:c r="F43" t="s">
        <x:v>194</x:v>
      </x:c>
      <x:c r="G43" t="s">
        <x:v>294</x:v>
      </x:c>
      <x:c r="H43" t="s">
        <x:v>274</x:v>
      </x:c>
      <x:c r="I43">
        <x:v>82.8</x:v>
      </x:c>
      <x:c r="J43">
        <x:v>16.56</x:v>
      </x:c>
      <x:c r="K43" t="n">
        <x:f>IF(J43="","",IF(J43&lt;10,'Price Rules'!$B$5,IF(J43&lt;=50,'Price Rules'!$B$6,'Price Rules'!$B$7)))</x:f>
        <x:v>4</x:v>
      </x:c>
      <x:c r="L43">
        <x:f t="shared" si="0"/>
        <x:v>66</x:v>
      </x:c>
      <x:c r="M43" t="s">
        <x:v>295</x:v>
      </x:c>
      <x:c r="N43" t="s">
        <x:v>171</x:v>
      </x:c>
      <x:c r="O43" t="str">
        <x:v>Ready Stock</x:v>
      </x:c>
      <x:c r="P43">
        <x:v>45</x:v>
      </x:c>
      <x:c r="Q43" t="s">
        <x:v>198</x:v>
      </x:c>
      <x:c r="R43" t="s">
        <x:v>275</x:v>
      </x:c>
      <x:c r="S43" t="s">
        <x:v>174</x:v>
      </x:c>
      <x:c r="T43" t="s">
        <x:v>175</x:v>
      </x:c>
      <x:c r="U43" t="s">
        <x:v>176</x:v>
      </x:c>
      <x:c r="W43" t="str">
        <x:v>32-inch</x:v>
      </x:c>
    </x:row>
    <x:row r="44">
      <x:c r="A44" t="s">
        <x:v>25</x:v>
      </x:c>
      <x:c r="B44" t="s">
        <x:v>50</x:v>
      </x:c>
      <x:c r="C44" t="s">
        <x:v>219</x:v>
      </x:c>
      <x:c r="D44" t="s">
        <x:v>51</x:v>
      </x:c>
      <x:c r="E44" t="s">
        <x:v>53</x:v>
      </x:c>
      <x:c r="F44" t="s">
        <x:v>194</x:v>
      </x:c>
      <x:c r="G44" t="s">
        <x:v>296</x:v>
      </x:c>
      <x:c r="H44" t="s">
        <x:v>274</x:v>
      </x:c>
      <x:c r="I44">
        <x:v>100.8</x:v>
      </x:c>
      <x:c r="J44">
        <x:v>20.16</x:v>
      </x:c>
      <x:c r="K44" t="n">
        <x:f>IF(J44="","",IF(J44&lt;10,'Price Rules'!$B$5,IF(J44&lt;=50,'Price Rules'!$B$6,'Price Rules'!$B$7)))</x:f>
        <x:v>4</x:v>
      </x:c>
      <x:c r="L44">
        <x:f t="shared" si="0"/>
        <x:v>81</x:v>
      </x:c>
      <x:c r="M44" t="s">
        <x:v>297</x:v>
      </x:c>
      <x:c r="N44" t="s">
        <x:v>171</x:v>
      </x:c>
      <x:c r="O44" t="str">
        <x:v>Ready Stock</x:v>
      </x:c>
      <x:c r="P44">
        <x:v>46</x:v>
      </x:c>
      <x:c r="Q44" t="s">
        <x:v>198</x:v>
      </x:c>
      <x:c r="R44" t="s">
        <x:v>275</x:v>
      </x:c>
      <x:c r="S44" t="s">
        <x:v>174</x:v>
      </x:c>
      <x:c r="T44" t="s">
        <x:v>175</x:v>
      </x:c>
      <x:c r="U44" t="s">
        <x:v>176</x:v>
      </x:c>
      <x:c r="W44" t="str">
        <x:v>36-inch</x:v>
      </x:c>
    </x:row>
    <x:row r="45">
      <x:c r="A45" t="s">
        <x:v>25</x:v>
      </x:c>
      <x:c r="B45" t="s">
        <x:v>50</x:v>
      </x:c>
      <x:c r="C45" t="s">
        <x:v>223</x:v>
      </x:c>
      <x:c r="D45" t="s">
        <x:v>51</x:v>
      </x:c>
      <x:c r="E45" t="s">
        <x:v>53</x:v>
      </x:c>
      <x:c r="F45" t="s">
        <x:v>194</x:v>
      </x:c>
      <x:c r="G45" t="s">
        <x:v>298</x:v>
      </x:c>
      <x:c r="H45" t="s">
        <x:v>274</x:v>
      </x:c>
      <x:c r="I45">
        <x:v>123.8</x:v>
      </x:c>
      <x:c r="J45">
        <x:v>24.76</x:v>
      </x:c>
      <x:c r="K45" t="n">
        <x:f>IF(J45="","",IF(J45&lt;10,'Price Rules'!$B$5,IF(J45&lt;=50,'Price Rules'!$B$6,'Price Rules'!$B$7)))</x:f>
        <x:v>4</x:v>
      </x:c>
      <x:c r="L45">
        <x:f t="shared" si="0"/>
        <x:v>99</x:v>
      </x:c>
      <x:c r="M45" t="s">
        <x:v>299</x:v>
      </x:c>
      <x:c r="N45" t="s">
        <x:v>171</x:v>
      </x:c>
      <x:c r="O45" t="str">
        <x:v>Ready Stock</x:v>
      </x:c>
      <x:c r="P45">
        <x:v>47</x:v>
      </x:c>
      <x:c r="Q45" t="s">
        <x:v>198</x:v>
      </x:c>
      <x:c r="R45" t="s">
        <x:v>275</x:v>
      </x:c>
      <x:c r="S45" t="s">
        <x:v>174</x:v>
      </x:c>
      <x:c r="T45" t="s">
        <x:v>175</x:v>
      </x:c>
      <x:c r="U45" t="s">
        <x:v>176</x:v>
      </x:c>
      <x:c r="W45" t="str">
        <x:v>40-inch</x:v>
      </x:c>
    </x:row>
    <x:row r="46">
      <x:c r="A46" t="s">
        <x:v>25</x:v>
      </x:c>
      <x:c r="B46" t="s">
        <x:v>50</x:v>
      </x:c>
      <x:c r="C46" t="s">
        <x:v>227</x:v>
      </x:c>
      <x:c r="D46" t="s">
        <x:v>51</x:v>
      </x:c>
      <x:c r="E46" t="s">
        <x:v>53</x:v>
      </x:c>
      <x:c r="F46" t="s">
        <x:v>194</x:v>
      </x:c>
      <x:c r="G46" t="s">
        <x:v>300</x:v>
      </x:c>
      <x:c r="H46" t="s">
        <x:v>274</x:v>
      </x:c>
      <x:c r="I46">
        <x:v>149.9</x:v>
      </x:c>
      <x:c r="J46">
        <x:v>29.98</x:v>
      </x:c>
      <x:c r="K46" t="n">
        <x:f>IF(J46="","",IF(J46&lt;10,'Price Rules'!$B$5,IF(J46&lt;=50,'Price Rules'!$B$6,'Price Rules'!$B$7)))</x:f>
        <x:v>4</x:v>
      </x:c>
      <x:c r="L46">
        <x:f t="shared" si="0"/>
        <x:v>120</x:v>
      </x:c>
      <x:c r="M46" t="s">
        <x:v>301</x:v>
      </x:c>
      <x:c r="N46" t="s">
        <x:v>171</x:v>
      </x:c>
      <x:c r="O46" t="str">
        <x:v>Ready Stock</x:v>
      </x:c>
      <x:c r="P46">
        <x:v>48</x:v>
      </x:c>
      <x:c r="Q46" t="s">
        <x:v>198</x:v>
      </x:c>
      <x:c r="R46" t="s">
        <x:v>275</x:v>
      </x:c>
      <x:c r="S46" t="s">
        <x:v>174</x:v>
      </x:c>
      <x:c r="T46" t="s">
        <x:v>175</x:v>
      </x:c>
      <x:c r="U46" t="s">
        <x:v>176</x:v>
      </x:c>
      <x:c r="W46" t="str">
        <x:v>48-inch</x:v>
      </x:c>
    </x:row>
    <x:row r="47">
      <x:c r="A47" t="s">
        <x:v>25</x:v>
      </x:c>
      <x:c r="B47" t="s">
        <x:v>54</x:v>
      </x:c>
      <x:c r="C47" t="s">
        <x:v>167</x:v>
      </x:c>
      <x:c r="D47" t="s">
        <x:v>55</x:v>
      </x:c>
      <x:c r="E47" t="s">
        <x:v>57</x:v>
      </x:c>
      <x:c r="F47" t="s">
        <x:v>168</x:v>
      </x:c>
      <x:c r="G47" t="s">
        <x:v>302</x:v>
      </x:c>
      <x:c r="H47" t="s">
        <x:v>274</x:v>
      </x:c>
      <x:c r="I47">
        <x:v>11.45</x:v>
      </x:c>
      <x:c r="J47">
        <x:v>2.29</x:v>
      </x:c>
      <x:c r="K47" t="n">
        <x:f>IF(J47="","",IF(J47&lt;10,'Price Rules'!$B$5,IF(J47&lt;=50,'Price Rules'!$B$6,'Price Rules'!$B$7)))</x:f>
        <x:v>5</x:v>
      </x:c>
      <x:c r="L47">
        <x:f t="shared" si="0"/>
        <x:v>11</x:v>
      </x:c>
      <x:c r="M47" t="s">
        <x:v>56</x:v>
      </x:c>
      <x:c r="N47" t="s">
        <x:v>171</x:v>
      </x:c>
      <x:c r="O47" t="str">
        <x:v>Ready Stock</x:v>
      </x:c>
      <x:c r="P47">
        <x:v>51</x:v>
      </x:c>
      <x:c r="Q47" t="s">
        <x:v>172</x:v>
      </x:c>
      <x:c r="R47" t="s">
        <x:v>303</x:v>
      </x:c>
      <x:c r="S47" t="s">
        <x:v>174</x:v>
      </x:c>
      <x:c r="T47" t="s">
        <x:v>175</x:v>
      </x:c>
      <x:c r="U47" t="s">
        <x:v>176</x:v>
      </x:c>
      <x:c r="W47" t="str">
        <x:v>7-inch</x:v>
      </x:c>
    </x:row>
    <x:row r="48">
      <x:c r="A48" t="s">
        <x:v>25</x:v>
      </x:c>
      <x:c r="B48" t="s">
        <x:v>54</x:v>
      </x:c>
      <x:c r="C48" t="s">
        <x:v>177</x:v>
      </x:c>
      <x:c r="D48" t="s">
        <x:v>55</x:v>
      </x:c>
      <x:c r="E48" t="s">
        <x:v>57</x:v>
      </x:c>
      <x:c r="F48" t="s">
        <x:v>168</x:v>
      </x:c>
      <x:c r="G48" t="s">
        <x:v>304</x:v>
      </x:c>
      <x:c r="H48" t="s">
        <x:v>274</x:v>
      </x:c>
      <x:c r="I48">
        <x:v>12.9</x:v>
      </x:c>
      <x:c r="J48">
        <x:v>2.58</x:v>
      </x:c>
      <x:c r="K48" t="n">
        <x:f>IF(J48="","",IF(J48&lt;10,'Price Rules'!$B$5,IF(J48&lt;=50,'Price Rules'!$B$6,'Price Rules'!$B$7)))</x:f>
        <x:v>5</x:v>
      </x:c>
      <x:c r="L48">
        <x:f t="shared" si="0"/>
        <x:v>13</x:v>
      </x:c>
      <x:c r="M48" t="s">
        <x:v>305</x:v>
      </x:c>
      <x:c r="N48" t="s">
        <x:v>171</x:v>
      </x:c>
      <x:c r="O48" t="str">
        <x:v>Ready Stock</x:v>
      </x:c>
      <x:c r="P48">
        <x:v>52</x:v>
      </x:c>
      <x:c r="Q48" t="s">
        <x:v>172</x:v>
      </x:c>
      <x:c r="R48" t="s">
        <x:v>303</x:v>
      </x:c>
      <x:c r="S48" t="s">
        <x:v>174</x:v>
      </x:c>
      <x:c r="T48" t="s">
        <x:v>175</x:v>
      </x:c>
      <x:c r="U48" t="s">
        <x:v>176</x:v>
      </x:c>
      <x:c r="W48" t="str">
        <x:v>8-inch</x:v>
      </x:c>
    </x:row>
    <x:row r="49">
      <x:c r="A49" t="s">
        <x:v>25</x:v>
      </x:c>
      <x:c r="B49" t="s">
        <x:v>54</x:v>
      </x:c>
      <x:c r="C49" t="s">
        <x:v>181</x:v>
      </x:c>
      <x:c r="D49" t="s">
        <x:v>55</x:v>
      </x:c>
      <x:c r="E49" t="s">
        <x:v>57</x:v>
      </x:c>
      <x:c r="F49" t="s">
        <x:v>168</x:v>
      </x:c>
      <x:c r="G49" t="s">
        <x:v>306</x:v>
      </x:c>
      <x:c r="H49" t="s">
        <x:v>274</x:v>
      </x:c>
      <x:c r="I49">
        <x:v>14.9</x:v>
      </x:c>
      <x:c r="J49">
        <x:v>2.98</x:v>
      </x:c>
      <x:c r="K49" t="n">
        <x:f>IF(J49="","",IF(J49&lt;10,'Price Rules'!$B$5,IF(J49&lt;=50,'Price Rules'!$B$6,'Price Rules'!$B$7)))</x:f>
        <x:v>5</x:v>
      </x:c>
      <x:c r="L49">
        <x:f t="shared" si="0"/>
        <x:v>15</x:v>
      </x:c>
      <x:c r="M49" t="s">
        <x:v>307</x:v>
      </x:c>
      <x:c r="N49" t="s">
        <x:v>171</x:v>
      </x:c>
      <x:c r="O49" t="str">
        <x:v>Ready Stock</x:v>
      </x:c>
      <x:c r="P49">
        <x:v>53</x:v>
      </x:c>
      <x:c r="Q49" t="s">
        <x:v>172</x:v>
      </x:c>
      <x:c r="R49" t="s">
        <x:v>303</x:v>
      </x:c>
      <x:c r="S49" t="s">
        <x:v>174</x:v>
      </x:c>
      <x:c r="T49" t="s">
        <x:v>175</x:v>
      </x:c>
      <x:c r="U49" t="s">
        <x:v>176</x:v>
      </x:c>
      <x:c r="W49" t="str">
        <x:v>10-inch</x:v>
      </x:c>
    </x:row>
    <x:row r="50">
      <x:c r="A50" t="s">
        <x:v>25</x:v>
      </x:c>
      <x:c r="B50" t="s">
        <x:v>54</x:v>
      </x:c>
      <x:c r="C50" t="s">
        <x:v>185</x:v>
      </x:c>
      <x:c r="D50" t="s">
        <x:v>55</x:v>
      </x:c>
      <x:c r="E50" t="s">
        <x:v>57</x:v>
      </x:c>
      <x:c r="F50" t="s">
        <x:v>168</x:v>
      </x:c>
      <x:c r="G50" t="s">
        <x:v>308</x:v>
      </x:c>
      <x:c r="H50" t="s">
        <x:v>274</x:v>
      </x:c>
      <x:c r="I50">
        <x:v>18.9</x:v>
      </x:c>
      <x:c r="J50">
        <x:v>3.78</x:v>
      </x:c>
      <x:c r="K50" t="n">
        <x:f>IF(J50="","",IF(J50&lt;10,'Price Rules'!$B$5,IF(J50&lt;=50,'Price Rules'!$B$6,'Price Rules'!$B$7)))</x:f>
        <x:v>5</x:v>
      </x:c>
      <x:c r="L50">
        <x:f t="shared" si="0"/>
        <x:v>19</x:v>
      </x:c>
      <x:c r="M50" t="s">
        <x:v>309</x:v>
      </x:c>
      <x:c r="N50" t="s">
        <x:v>171</x:v>
      </x:c>
      <x:c r="O50" t="str">
        <x:v>Ready Stock</x:v>
      </x:c>
      <x:c r="P50">
        <x:v>54</x:v>
      </x:c>
      <x:c r="Q50" t="s">
        <x:v>172</x:v>
      </x:c>
      <x:c r="R50" t="s">
        <x:v>303</x:v>
      </x:c>
      <x:c r="S50" t="s">
        <x:v>174</x:v>
      </x:c>
      <x:c r="T50" t="s">
        <x:v>175</x:v>
      </x:c>
      <x:c r="U50" t="s">
        <x:v>176</x:v>
      </x:c>
      <x:c r="W50" t="str">
        <x:v>12-inch</x:v>
      </x:c>
    </x:row>
    <x:row r="51">
      <x:c r="A51" t="s">
        <x:v>25</x:v>
      </x:c>
      <x:c r="B51" t="s">
        <x:v>54</x:v>
      </x:c>
      <x:c r="C51" t="s">
        <x:v>189</x:v>
      </x:c>
      <x:c r="D51" t="s">
        <x:v>55</x:v>
      </x:c>
      <x:c r="E51" t="s">
        <x:v>57</x:v>
      </x:c>
      <x:c r="F51" t="s">
        <x:v>168</x:v>
      </x:c>
      <x:c r="G51" t="s">
        <x:v>310</x:v>
      </x:c>
      <x:c r="H51" t="s">
        <x:v>274</x:v>
      </x:c>
      <x:c r="I51">
        <x:v>20.85</x:v>
      </x:c>
      <x:c r="J51">
        <x:v>4.17</x:v>
      </x:c>
      <x:c r="K51" t="n">
        <x:f>IF(J51="","",IF(J51&lt;10,'Price Rules'!$B$5,IF(J51&lt;=50,'Price Rules'!$B$6,'Price Rules'!$B$7)))</x:f>
        <x:v>5</x:v>
      </x:c>
      <x:c r="L51">
        <x:f t="shared" si="0"/>
        <x:v>21</x:v>
      </x:c>
      <x:c r="M51" t="s">
        <x:v>311</x:v>
      </x:c>
      <x:c r="N51" t="s">
        <x:v>171</x:v>
      </x:c>
      <x:c r="O51" t="str">
        <x:v>Ready Stock</x:v>
      </x:c>
      <x:c r="P51">
        <x:v>55</x:v>
      </x:c>
      <x:c r="Q51" t="s">
        <x:v>172</x:v>
      </x:c>
      <x:c r="R51" t="s">
        <x:v>303</x:v>
      </x:c>
      <x:c r="S51" t="s">
        <x:v>174</x:v>
      </x:c>
      <x:c r="T51" t="s">
        <x:v>175</x:v>
      </x:c>
      <x:c r="U51" t="s">
        <x:v>176</x:v>
      </x:c>
      <x:c r="W51" t="str">
        <x:v>14-inch</x:v>
      </x:c>
    </x:row>
    <x:row r="52">
      <x:c r="A52" t="s">
        <x:v>25</x:v>
      </x:c>
      <x:c r="B52" t="s">
        <x:v>54</x:v>
      </x:c>
      <x:c r="C52" t="s">
        <x:v>193</x:v>
      </x:c>
      <x:c r="D52" t="s">
        <x:v>55</x:v>
      </x:c>
      <x:c r="E52" t="s">
        <x:v>57</x:v>
      </x:c>
      <x:c r="F52" t="s">
        <x:v>194</x:v>
      </x:c>
      <x:c r="G52" t="s">
        <x:v>312</x:v>
      </x:c>
      <x:c r="H52" t="s">
        <x:v>274</x:v>
      </x:c>
      <x:c r="I52">
        <x:v>26.9</x:v>
      </x:c>
      <x:c r="J52">
        <x:v>5.38</x:v>
      </x:c>
      <x:c r="K52" t="n">
        <x:f>IF(J52="","",IF(J52&lt;10,'Price Rules'!$B$5,IF(J52&lt;=50,'Price Rules'!$B$6,'Price Rules'!$B$7)))</x:f>
        <x:v>5</x:v>
      </x:c>
      <x:c r="L52">
        <x:f t="shared" si="0"/>
        <x:v>27</x:v>
      </x:c>
      <x:c r="M52" t="s">
        <x:v>313</x:v>
      </x:c>
      <x:c r="N52" t="s">
        <x:v>171</x:v>
      </x:c>
      <x:c r="O52" t="str">
        <x:v>Ready Stock</x:v>
      </x:c>
      <x:c r="P52">
        <x:v>56</x:v>
      </x:c>
      <x:c r="Q52" t="s">
        <x:v>198</x:v>
      </x:c>
      <x:c r="R52" t="s">
        <x:v>303</x:v>
      </x:c>
      <x:c r="S52" t="s">
        <x:v>174</x:v>
      </x:c>
      <x:c r="T52" t="s">
        <x:v>175</x:v>
      </x:c>
      <x:c r="U52" t="s">
        <x:v>176</x:v>
      </x:c>
      <x:c r="W52" t="str">
        <x:v>16-inch</x:v>
      </x:c>
    </x:row>
    <x:row r="53">
      <x:c r="A53" t="s">
        <x:v>25</x:v>
      </x:c>
      <x:c r="B53" t="s">
        <x:v>54</x:v>
      </x:c>
      <x:c r="C53" t="s">
        <x:v>199</x:v>
      </x:c>
      <x:c r="D53" t="s">
        <x:v>55</x:v>
      </x:c>
      <x:c r="E53" t="s">
        <x:v>57</x:v>
      </x:c>
      <x:c r="F53" t="s">
        <x:v>194</x:v>
      </x:c>
      <x:c r="G53" t="s">
        <x:v>314</x:v>
      </x:c>
      <x:c r="H53" t="s">
        <x:v>274</x:v>
      </x:c>
      <x:c r="I53">
        <x:v>35.9</x:v>
      </x:c>
      <x:c r="J53">
        <x:v>7.18</x:v>
      </x:c>
      <x:c r="K53" t="n">
        <x:f>IF(J53="","",IF(J53&lt;10,'Price Rules'!$B$5,IF(J53&lt;=50,'Price Rules'!$B$6,'Price Rules'!$B$7)))</x:f>
        <x:v>5</x:v>
      </x:c>
      <x:c r="L53">
        <x:f t="shared" si="0"/>
        <x:v>36</x:v>
      </x:c>
      <x:c r="M53" t="s">
        <x:v>315</x:v>
      </x:c>
      <x:c r="N53" t="s">
        <x:v>171</x:v>
      </x:c>
      <x:c r="O53" t="str">
        <x:v>Ready Stock</x:v>
      </x:c>
      <x:c r="P53">
        <x:v>57</x:v>
      </x:c>
      <x:c r="Q53" t="s">
        <x:v>198</x:v>
      </x:c>
      <x:c r="R53" t="s">
        <x:v>303</x:v>
      </x:c>
      <x:c r="S53" t="s">
        <x:v>174</x:v>
      </x:c>
      <x:c r="T53" t="s">
        <x:v>175</x:v>
      </x:c>
      <x:c r="U53" t="s">
        <x:v>176</x:v>
      </x:c>
      <x:c r="W53" t="str">
        <x:v>18-inch</x:v>
      </x:c>
    </x:row>
    <x:row r="54">
      <x:c r="A54" t="s">
        <x:v>25</x:v>
      </x:c>
      <x:c r="B54" t="s">
        <x:v>54</x:v>
      </x:c>
      <x:c r="C54" t="s">
        <x:v>203</x:v>
      </x:c>
      <x:c r="D54" t="s">
        <x:v>55</x:v>
      </x:c>
      <x:c r="E54" t="s">
        <x:v>57</x:v>
      </x:c>
      <x:c r="F54" t="s">
        <x:v>194</x:v>
      </x:c>
      <x:c r="G54" t="s">
        <x:v>316</x:v>
      </x:c>
      <x:c r="H54" t="s">
        <x:v>274</x:v>
      </x:c>
      <x:c r="I54">
        <x:v>39.9</x:v>
      </x:c>
      <x:c r="J54">
        <x:v>7.98</x:v>
      </x:c>
      <x:c r="K54" t="n">
        <x:f>IF(J54="","",IF(J54&lt;10,'Price Rules'!$B$5,IF(J54&lt;=50,'Price Rules'!$B$6,'Price Rules'!$B$7)))</x:f>
        <x:v>5</x:v>
      </x:c>
      <x:c r="L54">
        <x:f t="shared" si="0"/>
        <x:v>40</x:v>
      </x:c>
      <x:c r="M54" t="s">
        <x:v>317</x:v>
      </x:c>
      <x:c r="N54" t="s">
        <x:v>171</x:v>
      </x:c>
      <x:c r="O54" t="str">
        <x:v>Ready Stock</x:v>
      </x:c>
      <x:c r="P54">
        <x:v>58</x:v>
      </x:c>
      <x:c r="Q54" t="s">
        <x:v>198</x:v>
      </x:c>
      <x:c r="R54" t="s">
        <x:v>303</x:v>
      </x:c>
      <x:c r="S54" t="s">
        <x:v>174</x:v>
      </x:c>
      <x:c r="T54" t="s">
        <x:v>175</x:v>
      </x:c>
      <x:c r="U54" t="s">
        <x:v>176</x:v>
      </x:c>
      <x:c r="W54" t="str">
        <x:v>20-inch</x:v>
      </x:c>
    </x:row>
    <x:row r="55">
      <x:c r="A55" t="s">
        <x:v>25</x:v>
      </x:c>
      <x:c r="B55" t="s">
        <x:v>54</x:v>
      </x:c>
      <x:c r="C55" t="s">
        <x:v>207</x:v>
      </x:c>
      <x:c r="D55" t="s">
        <x:v>55</x:v>
      </x:c>
      <x:c r="E55" t="s">
        <x:v>57</x:v>
      </x:c>
      <x:c r="F55" t="s">
        <x:v>194</x:v>
      </x:c>
      <x:c r="G55" t="s">
        <x:v>318</x:v>
      </x:c>
      <x:c r="H55" t="s">
        <x:v>274</x:v>
      </x:c>
      <x:c r="I55">
        <x:v>48.9</x:v>
      </x:c>
      <x:c r="J55">
        <x:v>9.78</x:v>
      </x:c>
      <x:c r="K55" t="n">
        <x:f>IF(J55="","",IF(J55&lt;10,'Price Rules'!$B$5,IF(J55&lt;=50,'Price Rules'!$B$6,'Price Rules'!$B$7)))</x:f>
        <x:v>5</x:v>
      </x:c>
      <x:c r="L55">
        <x:f t="shared" si="0"/>
        <x:v>49</x:v>
      </x:c>
      <x:c r="M55" t="s">
        <x:v>319</x:v>
      </x:c>
      <x:c r="N55" t="s">
        <x:v>171</x:v>
      </x:c>
      <x:c r="O55" t="str">
        <x:v>Ready Stock</x:v>
      </x:c>
      <x:c r="P55">
        <x:v>59</x:v>
      </x:c>
      <x:c r="Q55" t="s">
        <x:v>198</x:v>
      </x:c>
      <x:c r="R55" t="s">
        <x:v>303</x:v>
      </x:c>
      <x:c r="S55" t="s">
        <x:v>174</x:v>
      </x:c>
      <x:c r="T55" t="s">
        <x:v>175</x:v>
      </x:c>
      <x:c r="U55" t="s">
        <x:v>176</x:v>
      </x:c>
      <x:c r="W55" t="str">
        <x:v>24-small</x:v>
      </x:c>
    </x:row>
    <x:row r="56">
      <x:c r="A56" t="s">
        <x:v>25</x:v>
      </x:c>
      <x:c r="B56" t="s">
        <x:v>54</x:v>
      </x:c>
      <x:c r="C56" t="s">
        <x:v>211</x:v>
      </x:c>
      <x:c r="D56" t="s">
        <x:v>55</x:v>
      </x:c>
      <x:c r="E56" t="s">
        <x:v>57</x:v>
      </x:c>
      <x:c r="F56" t="s">
        <x:v>194</x:v>
      </x:c>
      <x:c r="G56" t="s">
        <x:v>320</x:v>
      </x:c>
      <x:c r="H56" t="s">
        <x:v>274</x:v>
      </x:c>
      <x:c r="I56">
        <x:v>72.5</x:v>
      </x:c>
      <x:c r="J56">
        <x:v>14.5</x:v>
      </x:c>
      <x:c r="K56" t="n">
        <x:f>IF(J56="","",IF(J56&lt;10,'Price Rules'!$B$5,IF(J56&lt;=50,'Price Rules'!$B$6,'Price Rules'!$B$7)))</x:f>
        <x:v>4</x:v>
      </x:c>
      <x:c r="L56">
        <x:f t="shared" si="0"/>
        <x:v>58</x:v>
      </x:c>
      <x:c r="M56" t="s">
        <x:v>321</x:v>
      </x:c>
      <x:c r="N56" t="s">
        <x:v>171</x:v>
      </x:c>
      <x:c r="O56" t="str">
        <x:v>Ready Stock</x:v>
      </x:c>
      <x:c r="P56">
        <x:v>60</x:v>
      </x:c>
      <x:c r="Q56" t="s">
        <x:v>198</x:v>
      </x:c>
      <x:c r="R56" t="s">
        <x:v>303</x:v>
      </x:c>
      <x:c r="S56" t="s">
        <x:v>174</x:v>
      </x:c>
      <x:c r="T56" t="s">
        <x:v>175</x:v>
      </x:c>
      <x:c r="U56" t="s">
        <x:v>176</x:v>
      </x:c>
      <x:c r="W56" t="str">
        <x:v>30-inch</x:v>
      </x:c>
    </x:row>
    <x:row r="57">
      <x:c r="A57" t="s">
        <x:v>25</x:v>
      </x:c>
      <x:c r="B57" t="s">
        <x:v>54</x:v>
      </x:c>
      <x:c r="C57" t="s">
        <x:v>215</x:v>
      </x:c>
      <x:c r="D57" t="s">
        <x:v>55</x:v>
      </x:c>
      <x:c r="E57" t="s">
        <x:v>57</x:v>
      </x:c>
      <x:c r="F57" t="s">
        <x:v>194</x:v>
      </x:c>
      <x:c r="G57" t="s">
        <x:v>322</x:v>
      </x:c>
      <x:c r="H57" t="s">
        <x:v>274</x:v>
      </x:c>
      <x:c r="I57">
        <x:v>82.8</x:v>
      </x:c>
      <x:c r="J57">
        <x:v>16.56</x:v>
      </x:c>
      <x:c r="K57" t="n">
        <x:f>IF(J57="","",IF(J57&lt;10,'Price Rules'!$B$5,IF(J57&lt;=50,'Price Rules'!$B$6,'Price Rules'!$B$7)))</x:f>
        <x:v>4</x:v>
      </x:c>
      <x:c r="L57">
        <x:f t="shared" si="0"/>
        <x:v>66</x:v>
      </x:c>
      <x:c r="M57" t="s">
        <x:v>323</x:v>
      </x:c>
      <x:c r="N57" t="s">
        <x:v>171</x:v>
      </x:c>
      <x:c r="O57" t="str">
        <x:v>Ready Stock</x:v>
      </x:c>
      <x:c r="P57">
        <x:v>61</x:v>
      </x:c>
      <x:c r="Q57" t="s">
        <x:v>198</x:v>
      </x:c>
      <x:c r="R57" t="s">
        <x:v>303</x:v>
      </x:c>
      <x:c r="S57" t="s">
        <x:v>174</x:v>
      </x:c>
      <x:c r="T57" t="s">
        <x:v>175</x:v>
      </x:c>
      <x:c r="U57" t="s">
        <x:v>176</x:v>
      </x:c>
      <x:c r="W57" t="str">
        <x:v>32-inch</x:v>
      </x:c>
    </x:row>
    <x:row r="58">
      <x:c r="A58" t="s">
        <x:v>25</x:v>
      </x:c>
      <x:c r="B58" t="s">
        <x:v>54</x:v>
      </x:c>
      <x:c r="C58" t="s">
        <x:v>219</x:v>
      </x:c>
      <x:c r="D58" t="s">
        <x:v>55</x:v>
      </x:c>
      <x:c r="E58" t="s">
        <x:v>57</x:v>
      </x:c>
      <x:c r="F58" t="s">
        <x:v>194</x:v>
      </x:c>
      <x:c r="G58" t="s">
        <x:v>324</x:v>
      </x:c>
      <x:c r="H58" t="s">
        <x:v>274</x:v>
      </x:c>
      <x:c r="I58">
        <x:v>100.8</x:v>
      </x:c>
      <x:c r="J58">
        <x:v>20.16</x:v>
      </x:c>
      <x:c r="K58" t="n">
        <x:f>IF(J58="","",IF(J58&lt;10,'Price Rules'!$B$5,IF(J58&lt;=50,'Price Rules'!$B$6,'Price Rules'!$B$7)))</x:f>
        <x:v>4</x:v>
      </x:c>
      <x:c r="L58">
        <x:f t="shared" si="0"/>
        <x:v>81</x:v>
      </x:c>
      <x:c r="M58" t="s">
        <x:v>325</x:v>
      </x:c>
      <x:c r="N58" t="s">
        <x:v>171</x:v>
      </x:c>
      <x:c r="O58" t="str">
        <x:v>Ready Stock</x:v>
      </x:c>
      <x:c r="P58">
        <x:v>62</x:v>
      </x:c>
      <x:c r="Q58" t="s">
        <x:v>198</x:v>
      </x:c>
      <x:c r="R58" t="s">
        <x:v>303</x:v>
      </x:c>
      <x:c r="S58" t="s">
        <x:v>174</x:v>
      </x:c>
      <x:c r="T58" t="s">
        <x:v>175</x:v>
      </x:c>
      <x:c r="U58" t="s">
        <x:v>176</x:v>
      </x:c>
      <x:c r="W58" t="str">
        <x:v>36-inch</x:v>
      </x:c>
    </x:row>
    <x:row r="59">
      <x:c r="A59" t="s">
        <x:v>25</x:v>
      </x:c>
      <x:c r="B59" t="s">
        <x:v>54</x:v>
      </x:c>
      <x:c r="C59" t="s">
        <x:v>223</x:v>
      </x:c>
      <x:c r="D59" t="s">
        <x:v>55</x:v>
      </x:c>
      <x:c r="E59" t="s">
        <x:v>57</x:v>
      </x:c>
      <x:c r="F59" t="s">
        <x:v>194</x:v>
      </x:c>
      <x:c r="G59" t="s">
        <x:v>326</x:v>
      </x:c>
      <x:c r="H59" t="s">
        <x:v>274</x:v>
      </x:c>
      <x:c r="I59">
        <x:v>123.8</x:v>
      </x:c>
      <x:c r="J59">
        <x:v>24.76</x:v>
      </x:c>
      <x:c r="K59" t="n">
        <x:f>IF(J59="","",IF(J59&lt;10,'Price Rules'!$B$5,IF(J59&lt;=50,'Price Rules'!$B$6,'Price Rules'!$B$7)))</x:f>
        <x:v>4</x:v>
      </x:c>
      <x:c r="L59">
        <x:f t="shared" si="0"/>
        <x:v>99</x:v>
      </x:c>
      <x:c r="M59" t="s">
        <x:v>327</x:v>
      </x:c>
      <x:c r="N59" t="s">
        <x:v>171</x:v>
      </x:c>
      <x:c r="O59" t="str">
        <x:v>Ready Stock</x:v>
      </x:c>
      <x:c r="P59">
        <x:v>63</x:v>
      </x:c>
      <x:c r="Q59" t="s">
        <x:v>198</x:v>
      </x:c>
      <x:c r="R59" t="s">
        <x:v>303</x:v>
      </x:c>
      <x:c r="S59" t="s">
        <x:v>174</x:v>
      </x:c>
      <x:c r="T59" t="s">
        <x:v>175</x:v>
      </x:c>
      <x:c r="U59" t="s">
        <x:v>176</x:v>
      </x:c>
      <x:c r="W59" t="str">
        <x:v>40-inch</x:v>
      </x:c>
    </x:row>
    <x:row r="60">
      <x:c r="A60" t="s">
        <x:v>25</x:v>
      </x:c>
      <x:c r="B60" t="s">
        <x:v>54</x:v>
      </x:c>
      <x:c r="C60" t="s">
        <x:v>227</x:v>
      </x:c>
      <x:c r="D60" t="s">
        <x:v>55</x:v>
      </x:c>
      <x:c r="E60" t="s">
        <x:v>57</x:v>
      </x:c>
      <x:c r="F60" t="s">
        <x:v>194</x:v>
      </x:c>
      <x:c r="G60" t="s">
        <x:v>328</x:v>
      </x:c>
      <x:c r="H60" t="s">
        <x:v>274</x:v>
      </x:c>
      <x:c r="I60">
        <x:v>149.9</x:v>
      </x:c>
      <x:c r="J60">
        <x:v>29.98</x:v>
      </x:c>
      <x:c r="K60" t="n">
        <x:f>IF(J60="","",IF(J60&lt;10,'Price Rules'!$B$5,IF(J60&lt;=50,'Price Rules'!$B$6,'Price Rules'!$B$7)))</x:f>
        <x:v>4</x:v>
      </x:c>
      <x:c r="L60">
        <x:f t="shared" si="0"/>
        <x:v>120</x:v>
      </x:c>
      <x:c r="M60" t="s">
        <x:v>329</x:v>
      </x:c>
      <x:c r="N60" t="s">
        <x:v>171</x:v>
      </x:c>
      <x:c r="O60" t="str">
        <x:v>Ready Stock</x:v>
      </x:c>
      <x:c r="P60">
        <x:v>64</x:v>
      </x:c>
      <x:c r="Q60" t="s">
        <x:v>198</x:v>
      </x:c>
      <x:c r="R60" t="s">
        <x:v>303</x:v>
      </x:c>
      <x:c r="S60" t="s">
        <x:v>174</x:v>
      </x:c>
      <x:c r="T60" t="s">
        <x:v>175</x:v>
      </x:c>
      <x:c r="U60" t="s">
        <x:v>176</x:v>
      </x:c>
      <x:c r="W60" t="str">
        <x:v>48-inch</x:v>
      </x:c>
    </x:row>
    <x:row r="61">
      <x:c r="A61" t="s">
        <x:v>25</x:v>
      </x:c>
      <x:c r="B61" t="s">
        <x:v>58</x:v>
      </x:c>
      <x:c r="C61" t="s">
        <x:v>167</x:v>
      </x:c>
      <x:c r="D61" t="s">
        <x:v>59</x:v>
      </x:c>
      <x:c r="E61" t="s">
        <x:v>61</x:v>
      </x:c>
      <x:c r="F61" t="s">
        <x:v>168</x:v>
      </x:c>
      <x:c r="G61" t="s">
        <x:v>330</x:v>
      </x:c>
      <x:c r="H61" t="s">
        <x:v>274</x:v>
      </x:c>
      <x:c r="I61">
        <x:v>11.45</x:v>
      </x:c>
      <x:c r="J61">
        <x:v>2.29</x:v>
      </x:c>
      <x:c r="K61" t="n">
        <x:f>IF(J61="","",IF(J61&lt;10,'Price Rules'!$B$5,IF(J61&lt;=50,'Price Rules'!$B$6,'Price Rules'!$B$7)))</x:f>
        <x:v>5</x:v>
      </x:c>
      <x:c r="L61">
        <x:f t="shared" si="0"/>
        <x:v>11</x:v>
      </x:c>
      <x:c r="M61" t="s">
        <x:v>60</x:v>
      </x:c>
      <x:c r="N61" t="s">
        <x:v>171</x:v>
      </x:c>
      <x:c r="O61" t="str">
        <x:v>Ready Stock</x:v>
      </x:c>
      <x:c r="P61">
        <x:v>67</x:v>
      </x:c>
      <x:c r="Q61" t="s">
        <x:v>172</x:v>
      </x:c>
      <x:c r="R61" t="s">
        <x:v>331</x:v>
      </x:c>
      <x:c r="S61" t="s">
        <x:v>174</x:v>
      </x:c>
      <x:c r="T61" t="s">
        <x:v>175</x:v>
      </x:c>
      <x:c r="U61" t="s">
        <x:v>176</x:v>
      </x:c>
      <x:c r="W61" t="str">
        <x:v>7-inch</x:v>
      </x:c>
    </x:row>
    <x:row r="62">
      <x:c r="A62" t="s">
        <x:v>25</x:v>
      </x:c>
      <x:c r="B62" t="s">
        <x:v>58</x:v>
      </x:c>
      <x:c r="C62" t="s">
        <x:v>177</x:v>
      </x:c>
      <x:c r="D62" t="s">
        <x:v>59</x:v>
      </x:c>
      <x:c r="E62" t="s">
        <x:v>61</x:v>
      </x:c>
      <x:c r="F62" t="s">
        <x:v>168</x:v>
      </x:c>
      <x:c r="G62" t="s">
        <x:v>332</x:v>
      </x:c>
      <x:c r="H62" t="s">
        <x:v>274</x:v>
      </x:c>
      <x:c r="I62">
        <x:v>12.9</x:v>
      </x:c>
      <x:c r="J62">
        <x:v>2.58</x:v>
      </x:c>
      <x:c r="K62" t="n">
        <x:f>IF(J62="","",IF(J62&lt;10,'Price Rules'!$B$5,IF(J62&lt;=50,'Price Rules'!$B$6,'Price Rules'!$B$7)))</x:f>
        <x:v>5</x:v>
      </x:c>
      <x:c r="L62">
        <x:f t="shared" si="0"/>
        <x:v>13</x:v>
      </x:c>
      <x:c r="M62" t="s">
        <x:v>333</x:v>
      </x:c>
      <x:c r="N62" t="s">
        <x:v>171</x:v>
      </x:c>
      <x:c r="O62" t="str">
        <x:v>Ready Stock</x:v>
      </x:c>
      <x:c r="P62">
        <x:v>68</x:v>
      </x:c>
      <x:c r="Q62" t="s">
        <x:v>172</x:v>
      </x:c>
      <x:c r="R62" t="s">
        <x:v>331</x:v>
      </x:c>
      <x:c r="S62" t="s">
        <x:v>174</x:v>
      </x:c>
      <x:c r="T62" t="s">
        <x:v>175</x:v>
      </x:c>
      <x:c r="U62" t="s">
        <x:v>176</x:v>
      </x:c>
      <x:c r="W62" t="str">
        <x:v>8-inch</x:v>
      </x:c>
    </x:row>
    <x:row r="63">
      <x:c r="A63" t="s">
        <x:v>25</x:v>
      </x:c>
      <x:c r="B63" t="s">
        <x:v>58</x:v>
      </x:c>
      <x:c r="C63" t="s">
        <x:v>181</x:v>
      </x:c>
      <x:c r="D63" t="s">
        <x:v>59</x:v>
      </x:c>
      <x:c r="E63" t="s">
        <x:v>61</x:v>
      </x:c>
      <x:c r="F63" t="s">
        <x:v>168</x:v>
      </x:c>
      <x:c r="G63" t="s">
        <x:v>334</x:v>
      </x:c>
      <x:c r="H63" t="s">
        <x:v>274</x:v>
      </x:c>
      <x:c r="I63">
        <x:v>14.9</x:v>
      </x:c>
      <x:c r="J63">
        <x:v>2.98</x:v>
      </x:c>
      <x:c r="K63" t="n">
        <x:f>IF(J63="","",IF(J63&lt;10,'Price Rules'!$B$5,IF(J63&lt;=50,'Price Rules'!$B$6,'Price Rules'!$B$7)))</x:f>
        <x:v>5</x:v>
      </x:c>
      <x:c r="L63">
        <x:f t="shared" si="0"/>
        <x:v>15</x:v>
      </x:c>
      <x:c r="M63" t="s">
        <x:v>335</x:v>
      </x:c>
      <x:c r="N63" t="s">
        <x:v>171</x:v>
      </x:c>
      <x:c r="O63" t="str">
        <x:v>Ready Stock</x:v>
      </x:c>
      <x:c r="P63">
        <x:v>69</x:v>
      </x:c>
      <x:c r="Q63" t="s">
        <x:v>172</x:v>
      </x:c>
      <x:c r="R63" t="s">
        <x:v>331</x:v>
      </x:c>
      <x:c r="S63" t="s">
        <x:v>174</x:v>
      </x:c>
      <x:c r="T63" t="s">
        <x:v>175</x:v>
      </x:c>
      <x:c r="U63" t="s">
        <x:v>176</x:v>
      </x:c>
      <x:c r="W63" t="str">
        <x:v>10-inch</x:v>
      </x:c>
    </x:row>
    <x:row r="64">
      <x:c r="A64" t="s">
        <x:v>25</x:v>
      </x:c>
      <x:c r="B64" t="s">
        <x:v>58</x:v>
      </x:c>
      <x:c r="C64" t="s">
        <x:v>185</x:v>
      </x:c>
      <x:c r="D64" t="s">
        <x:v>59</x:v>
      </x:c>
      <x:c r="E64" t="s">
        <x:v>61</x:v>
      </x:c>
      <x:c r="F64" t="s">
        <x:v>168</x:v>
      </x:c>
      <x:c r="G64" t="s">
        <x:v>336</x:v>
      </x:c>
      <x:c r="H64" t="s">
        <x:v>274</x:v>
      </x:c>
      <x:c r="I64">
        <x:v>18.9</x:v>
      </x:c>
      <x:c r="J64">
        <x:v>3.78</x:v>
      </x:c>
      <x:c r="K64" t="n">
        <x:f>IF(J64="","",IF(J64&lt;10,'Price Rules'!$B$5,IF(J64&lt;=50,'Price Rules'!$B$6,'Price Rules'!$B$7)))</x:f>
        <x:v>5</x:v>
      </x:c>
      <x:c r="L64">
        <x:f t="shared" si="0"/>
        <x:v>19</x:v>
      </x:c>
      <x:c r="M64" t="s">
        <x:v>337</x:v>
      </x:c>
      <x:c r="N64" t="s">
        <x:v>171</x:v>
      </x:c>
      <x:c r="O64" t="str">
        <x:v>Ready Stock</x:v>
      </x:c>
      <x:c r="P64">
        <x:v>70</x:v>
      </x:c>
      <x:c r="Q64" t="s">
        <x:v>172</x:v>
      </x:c>
      <x:c r="R64" t="s">
        <x:v>331</x:v>
      </x:c>
      <x:c r="S64" t="s">
        <x:v>174</x:v>
      </x:c>
      <x:c r="T64" t="s">
        <x:v>175</x:v>
      </x:c>
      <x:c r="U64" t="s">
        <x:v>176</x:v>
      </x:c>
      <x:c r="W64" t="str">
        <x:v>12-inch</x:v>
      </x:c>
    </x:row>
    <x:row r="65">
      <x:c r="A65" t="s">
        <x:v>25</x:v>
      </x:c>
      <x:c r="B65" t="s">
        <x:v>58</x:v>
      </x:c>
      <x:c r="C65" t="s">
        <x:v>189</x:v>
      </x:c>
      <x:c r="D65" t="s">
        <x:v>59</x:v>
      </x:c>
      <x:c r="E65" t="s">
        <x:v>61</x:v>
      </x:c>
      <x:c r="F65" t="s">
        <x:v>168</x:v>
      </x:c>
      <x:c r="G65" t="s">
        <x:v>338</x:v>
      </x:c>
      <x:c r="H65" t="s">
        <x:v>274</x:v>
      </x:c>
      <x:c r="I65">
        <x:v>21.9</x:v>
      </x:c>
      <x:c r="J65">
        <x:v>4.38</x:v>
      </x:c>
      <x:c r="K65" t="n">
        <x:f>IF(J65="","",IF(J65&lt;10,'Price Rules'!$B$5,IF(J65&lt;=50,'Price Rules'!$B$6,'Price Rules'!$B$7)))</x:f>
        <x:v>5</x:v>
      </x:c>
      <x:c r="L65">
        <x:f t="shared" si="0"/>
        <x:v>22</x:v>
      </x:c>
      <x:c r="M65" t="s">
        <x:v>339</x:v>
      </x:c>
      <x:c r="N65" t="s">
        <x:v>171</x:v>
      </x:c>
      <x:c r="O65" t="str">
        <x:v>Ready Stock</x:v>
      </x:c>
      <x:c r="P65">
        <x:v>71</x:v>
      </x:c>
      <x:c r="Q65" t="s">
        <x:v>172</x:v>
      </x:c>
      <x:c r="R65" t="s">
        <x:v>331</x:v>
      </x:c>
      <x:c r="S65" t="s">
        <x:v>174</x:v>
      </x:c>
      <x:c r="T65" t="s">
        <x:v>175</x:v>
      </x:c>
      <x:c r="U65" t="s">
        <x:v>176</x:v>
      </x:c>
      <x:c r="W65" t="str">
        <x:v>14-inch</x:v>
      </x:c>
    </x:row>
    <x:row r="66">
      <x:c r="A66" t="s">
        <x:v>25</x:v>
      </x:c>
      <x:c r="B66" t="s">
        <x:v>58</x:v>
      </x:c>
      <x:c r="C66" t="s">
        <x:v>193</x:v>
      </x:c>
      <x:c r="D66" t="s">
        <x:v>59</x:v>
      </x:c>
      <x:c r="E66" t="s">
        <x:v>61</x:v>
      </x:c>
      <x:c r="F66" t="s">
        <x:v>194</x:v>
      </x:c>
      <x:c r="G66" t="s">
        <x:v>340</x:v>
      </x:c>
      <x:c r="H66" t="s">
        <x:v>274</x:v>
      </x:c>
      <x:c r="I66">
        <x:v>27.95</x:v>
      </x:c>
      <x:c r="J66">
        <x:v>5.59</x:v>
      </x:c>
      <x:c r="K66" t="n">
        <x:f>IF(J66="","",IF(J66&lt;10,'Price Rules'!$B$5,IF(J66&lt;=50,'Price Rules'!$B$6,'Price Rules'!$B$7)))</x:f>
        <x:v>5</x:v>
      </x:c>
      <x:c r="L66">
        <x:f t="shared" si="0"/>
        <x:v>28</x:v>
      </x:c>
      <x:c r="M66" t="s">
        <x:v>341</x:v>
      </x:c>
      <x:c r="N66" t="s">
        <x:v>171</x:v>
      </x:c>
      <x:c r="O66" t="str">
        <x:v>Ready Stock</x:v>
      </x:c>
      <x:c r="P66">
        <x:v>72</x:v>
      </x:c>
      <x:c r="Q66" t="s">
        <x:v>198</x:v>
      </x:c>
      <x:c r="R66" t="s">
        <x:v>331</x:v>
      </x:c>
      <x:c r="S66" t="s">
        <x:v>174</x:v>
      </x:c>
      <x:c r="T66" t="s">
        <x:v>175</x:v>
      </x:c>
      <x:c r="U66" t="s">
        <x:v>176</x:v>
      </x:c>
      <x:c r="W66" t="str">
        <x:v>16-inch</x:v>
      </x:c>
    </x:row>
    <x:row r="67">
      <x:c r="A67" t="s">
        <x:v>25</x:v>
      </x:c>
      <x:c r="B67" t="s">
        <x:v>58</x:v>
      </x:c>
      <x:c r="C67" t="s">
        <x:v>199</x:v>
      </x:c>
      <x:c r="D67" t="s">
        <x:v>59</x:v>
      </x:c>
      <x:c r="E67" t="s">
        <x:v>61</x:v>
      </x:c>
      <x:c r="F67" t="s">
        <x:v>194</x:v>
      </x:c>
      <x:c r="G67" t="s">
        <x:v>342</x:v>
      </x:c>
      <x:c r="H67" t="s">
        <x:v>274</x:v>
      </x:c>
      <x:c r="I67">
        <x:v>35.9</x:v>
      </x:c>
      <x:c r="J67">
        <x:v>7.18</x:v>
      </x:c>
      <x:c r="K67" t="n">
        <x:f>IF(J67="","",IF(J67&lt;10,'Price Rules'!$B$5,IF(J67&lt;=50,'Price Rules'!$B$6,'Price Rules'!$B$7)))</x:f>
        <x:v>5</x:v>
      </x:c>
      <x:c r="L67">
        <x:f t="shared" si="0"/>
        <x:v>36</x:v>
      </x:c>
      <x:c r="M67" t="s">
        <x:v>343</x:v>
      </x:c>
      <x:c r="N67" t="s">
        <x:v>171</x:v>
      </x:c>
      <x:c r="O67" t="str">
        <x:v>Ready Stock</x:v>
      </x:c>
      <x:c r="P67">
        <x:v>73</x:v>
      </x:c>
      <x:c r="Q67" t="s">
        <x:v>198</x:v>
      </x:c>
      <x:c r="R67" t="s">
        <x:v>331</x:v>
      </x:c>
      <x:c r="S67" t="s">
        <x:v>174</x:v>
      </x:c>
      <x:c r="T67" t="s">
        <x:v>175</x:v>
      </x:c>
      <x:c r="U67" t="s">
        <x:v>176</x:v>
      </x:c>
      <x:c r="W67" t="str">
        <x:v>18-inch</x:v>
      </x:c>
    </x:row>
    <x:row r="68">
      <x:c r="A68" t="s">
        <x:v>25</x:v>
      </x:c>
      <x:c r="B68" t="s">
        <x:v>58</x:v>
      </x:c>
      <x:c r="C68" t="s">
        <x:v>203</x:v>
      </x:c>
      <x:c r="D68" t="s">
        <x:v>59</x:v>
      </x:c>
      <x:c r="E68" t="s">
        <x:v>61</x:v>
      </x:c>
      <x:c r="F68" t="s">
        <x:v>194</x:v>
      </x:c>
      <x:c r="G68" t="s">
        <x:v>344</x:v>
      </x:c>
      <x:c r="H68" t="s">
        <x:v>274</x:v>
      </x:c>
      <x:c r="I68">
        <x:v>39.9</x:v>
      </x:c>
      <x:c r="J68">
        <x:v>7.98</x:v>
      </x:c>
      <x:c r="K68" t="n">
        <x:f>IF(J68="","",IF(J68&lt;10,'Price Rules'!$B$5,IF(J68&lt;=50,'Price Rules'!$B$6,'Price Rules'!$B$7)))</x:f>
        <x:v>5</x:v>
      </x:c>
      <x:c r="L68">
        <x:f t="shared" si="0"/>
        <x:v>40</x:v>
      </x:c>
      <x:c r="M68" t="s">
        <x:v>345</x:v>
      </x:c>
      <x:c r="N68" t="s">
        <x:v>171</x:v>
      </x:c>
      <x:c r="O68" t="str">
        <x:v>Ready Stock</x:v>
      </x:c>
      <x:c r="P68">
        <x:v>74</x:v>
      </x:c>
      <x:c r="Q68" t="s">
        <x:v>198</x:v>
      </x:c>
      <x:c r="R68" t="s">
        <x:v>331</x:v>
      </x:c>
      <x:c r="S68" t="s">
        <x:v>174</x:v>
      </x:c>
      <x:c r="T68" t="s">
        <x:v>175</x:v>
      </x:c>
      <x:c r="U68" t="s">
        <x:v>176</x:v>
      </x:c>
      <x:c r="W68" t="str">
        <x:v>20-inch</x:v>
      </x:c>
    </x:row>
    <x:row r="69">
      <x:c r="A69" t="s">
        <x:v>25</x:v>
      </x:c>
      <x:c r="B69" t="s">
        <x:v>58</x:v>
      </x:c>
      <x:c r="C69" t="s">
        <x:v>207</x:v>
      </x:c>
      <x:c r="D69" t="s">
        <x:v>59</x:v>
      </x:c>
      <x:c r="E69" t="s">
        <x:v>61</x:v>
      </x:c>
      <x:c r="F69" t="s">
        <x:v>194</x:v>
      </x:c>
      <x:c r="G69" t="s">
        <x:v>346</x:v>
      </x:c>
      <x:c r="H69" t="s">
        <x:v>274</x:v>
      </x:c>
      <x:c r="I69">
        <x:v>76</x:v>
      </x:c>
      <x:c r="J69">
        <x:v>15.2</x:v>
      </x:c>
      <x:c r="K69" t="n">
        <x:f>IF(J69="","",IF(J69&lt;10,'Price Rules'!$B$5,IF(J69&lt;=50,'Price Rules'!$B$6,'Price Rules'!$B$7)))</x:f>
        <x:v>4</x:v>
      </x:c>
      <x:c r="L69" t="n">
        <x:f t="shared" ref="L69:L132" si="1">IF(J69="","",ROUND(J69*K69,0))</x:f>
        <x:v>61</x:v>
      </x:c>
      <x:c r="M69" t="s">
        <x:v>347</x:v>
      </x:c>
      <x:c r="N69" t="s">
        <x:v>171</x:v>
      </x:c>
      <x:c r="O69" t="str">
        <x:v>Ready Stock</x:v>
      </x:c>
      <x:c r="P69">
        <x:v>75</x:v>
      </x:c>
      <x:c r="Q69" t="s">
        <x:v>198</x:v>
      </x:c>
      <x:c r="R69" t="s">
        <x:v>331</x:v>
      </x:c>
      <x:c r="S69" t="s">
        <x:v>174</x:v>
      </x:c>
      <x:c r="T69" t="s">
        <x:v>175</x:v>
      </x:c>
      <x:c r="U69" t="s">
        <x:v>176</x:v>
      </x:c>
      <x:c r="W69" t="str">
        <x:v>24-small</x:v>
      </x:c>
    </x:row>
    <x:row r="70">
      <x:c r="A70" t="s">
        <x:v>25</x:v>
      </x:c>
      <x:c r="B70" t="s">
        <x:v>58</x:v>
      </x:c>
      <x:c r="C70" t="s">
        <x:v>211</x:v>
      </x:c>
      <x:c r="D70" t="s">
        <x:v>59</x:v>
      </x:c>
      <x:c r="E70" t="s">
        <x:v>61</x:v>
      </x:c>
      <x:c r="F70" t="s">
        <x:v>194</x:v>
      </x:c>
      <x:c r="G70" t="s">
        <x:v>348</x:v>
      </x:c>
      <x:c r="H70" t="s">
        <x:v>274</x:v>
      </x:c>
      <x:c r="I70">
        <x:v>72.5</x:v>
      </x:c>
      <x:c r="J70">
        <x:v>14.5</x:v>
      </x:c>
      <x:c r="K70" t="n">
        <x:f>IF(J70="","",IF(J70&lt;10,'Price Rules'!$B$5,IF(J70&lt;=50,'Price Rules'!$B$6,'Price Rules'!$B$7)))</x:f>
        <x:v>4</x:v>
      </x:c>
      <x:c r="L70">
        <x:f t="shared" si="1"/>
        <x:v>58</x:v>
      </x:c>
      <x:c r="M70" t="s">
        <x:v>349</x:v>
      </x:c>
      <x:c r="N70" t="s">
        <x:v>171</x:v>
      </x:c>
      <x:c r="O70" t="str">
        <x:v>Ready Stock</x:v>
      </x:c>
      <x:c r="P70">
        <x:v>76</x:v>
      </x:c>
      <x:c r="Q70" t="s">
        <x:v>198</x:v>
      </x:c>
      <x:c r="R70" t="s">
        <x:v>331</x:v>
      </x:c>
      <x:c r="S70" t="s">
        <x:v>174</x:v>
      </x:c>
      <x:c r="T70" t="s">
        <x:v>175</x:v>
      </x:c>
      <x:c r="U70" t="s">
        <x:v>176</x:v>
      </x:c>
      <x:c r="W70" t="str">
        <x:v>30-inch</x:v>
      </x:c>
    </x:row>
    <x:row r="71">
      <x:c r="A71" t="s">
        <x:v>25</x:v>
      </x:c>
      <x:c r="B71" t="s">
        <x:v>58</x:v>
      </x:c>
      <x:c r="C71" t="s">
        <x:v>215</x:v>
      </x:c>
      <x:c r="D71" t="s">
        <x:v>59</x:v>
      </x:c>
      <x:c r="E71" t="s">
        <x:v>61</x:v>
      </x:c>
      <x:c r="F71" t="s">
        <x:v>194</x:v>
      </x:c>
      <x:c r="G71" t="s">
        <x:v>350</x:v>
      </x:c>
      <x:c r="H71" t="s">
        <x:v>274</x:v>
      </x:c>
      <x:c r="I71">
        <x:v>82.8</x:v>
      </x:c>
      <x:c r="J71">
        <x:v>16.56</x:v>
      </x:c>
      <x:c r="K71" t="n">
        <x:f>IF(J71="","",IF(J71&lt;10,'Price Rules'!$B$5,IF(J71&lt;=50,'Price Rules'!$B$6,'Price Rules'!$B$7)))</x:f>
        <x:v>4</x:v>
      </x:c>
      <x:c r="L71">
        <x:f t="shared" si="1"/>
        <x:v>66</x:v>
      </x:c>
      <x:c r="M71" t="s">
        <x:v>351</x:v>
      </x:c>
      <x:c r="N71" t="s">
        <x:v>171</x:v>
      </x:c>
      <x:c r="O71" t="str">
        <x:v>Ready Stock</x:v>
      </x:c>
      <x:c r="P71">
        <x:v>77</x:v>
      </x:c>
      <x:c r="Q71" t="s">
        <x:v>198</x:v>
      </x:c>
      <x:c r="R71" t="s">
        <x:v>331</x:v>
      </x:c>
      <x:c r="S71" t="s">
        <x:v>174</x:v>
      </x:c>
      <x:c r="T71" t="s">
        <x:v>175</x:v>
      </x:c>
      <x:c r="U71" t="s">
        <x:v>176</x:v>
      </x:c>
      <x:c r="W71" t="str">
        <x:v>32-inch</x:v>
      </x:c>
    </x:row>
    <x:row r="72">
      <x:c r="A72" t="s">
        <x:v>25</x:v>
      </x:c>
      <x:c r="B72" t="s">
        <x:v>58</x:v>
      </x:c>
      <x:c r="C72" t="s">
        <x:v>219</x:v>
      </x:c>
      <x:c r="D72" t="s">
        <x:v>59</x:v>
      </x:c>
      <x:c r="E72" t="s">
        <x:v>61</x:v>
      </x:c>
      <x:c r="F72" t="s">
        <x:v>194</x:v>
      </x:c>
      <x:c r="G72" t="s">
        <x:v>352</x:v>
      </x:c>
      <x:c r="H72" t="s">
        <x:v>274</x:v>
      </x:c>
      <x:c r="I72">
        <x:v>100.8</x:v>
      </x:c>
      <x:c r="J72">
        <x:v>20.16</x:v>
      </x:c>
      <x:c r="K72" t="n">
        <x:f>IF(J72="","",IF(J72&lt;10,'Price Rules'!$B$5,IF(J72&lt;=50,'Price Rules'!$B$6,'Price Rules'!$B$7)))</x:f>
        <x:v>4</x:v>
      </x:c>
      <x:c r="L72">
        <x:f t="shared" si="1"/>
        <x:v>81</x:v>
      </x:c>
      <x:c r="M72" t="s">
        <x:v>353</x:v>
      </x:c>
      <x:c r="N72" t="s">
        <x:v>171</x:v>
      </x:c>
      <x:c r="O72" t="str">
        <x:v>Ready Stock</x:v>
      </x:c>
      <x:c r="P72">
        <x:v>78</x:v>
      </x:c>
      <x:c r="Q72" t="s">
        <x:v>198</x:v>
      </x:c>
      <x:c r="R72" t="s">
        <x:v>331</x:v>
      </x:c>
      <x:c r="S72" t="s">
        <x:v>174</x:v>
      </x:c>
      <x:c r="T72" t="s">
        <x:v>175</x:v>
      </x:c>
      <x:c r="U72" t="s">
        <x:v>176</x:v>
      </x:c>
      <x:c r="W72" t="str">
        <x:v>36-inch</x:v>
      </x:c>
    </x:row>
    <x:row r="73">
      <x:c r="A73" t="s">
        <x:v>25</x:v>
      </x:c>
      <x:c r="B73" t="s">
        <x:v>58</x:v>
      </x:c>
      <x:c r="C73" t="s">
        <x:v>223</x:v>
      </x:c>
      <x:c r="D73" t="s">
        <x:v>59</x:v>
      </x:c>
      <x:c r="E73" t="s">
        <x:v>61</x:v>
      </x:c>
      <x:c r="F73" t="s">
        <x:v>194</x:v>
      </x:c>
      <x:c r="G73" t="s">
        <x:v>354</x:v>
      </x:c>
      <x:c r="H73" t="s">
        <x:v>274</x:v>
      </x:c>
      <x:c r="I73">
        <x:v>123.8</x:v>
      </x:c>
      <x:c r="J73">
        <x:v>24.76</x:v>
      </x:c>
      <x:c r="K73" t="n">
        <x:f>IF(J73="","",IF(J73&lt;10,'Price Rules'!$B$5,IF(J73&lt;=50,'Price Rules'!$B$6,'Price Rules'!$B$7)))</x:f>
        <x:v>4</x:v>
      </x:c>
      <x:c r="L73">
        <x:f t="shared" si="1"/>
        <x:v>99</x:v>
      </x:c>
      <x:c r="M73" t="s">
        <x:v>355</x:v>
      </x:c>
      <x:c r="N73" t="s">
        <x:v>171</x:v>
      </x:c>
      <x:c r="O73" t="str">
        <x:v>Ready Stock</x:v>
      </x:c>
      <x:c r="P73">
        <x:v>79</x:v>
      </x:c>
      <x:c r="Q73" t="s">
        <x:v>198</x:v>
      </x:c>
      <x:c r="R73" t="s">
        <x:v>331</x:v>
      </x:c>
      <x:c r="S73" t="s">
        <x:v>174</x:v>
      </x:c>
      <x:c r="T73" t="s">
        <x:v>175</x:v>
      </x:c>
      <x:c r="U73" t="s">
        <x:v>176</x:v>
      </x:c>
      <x:c r="W73" t="str">
        <x:v>40-inch</x:v>
      </x:c>
    </x:row>
    <x:row r="74">
      <x:c r="A74" t="s">
        <x:v>25</x:v>
      </x:c>
      <x:c r="B74" t="s">
        <x:v>58</x:v>
      </x:c>
      <x:c r="C74" t="s">
        <x:v>227</x:v>
      </x:c>
      <x:c r="D74" t="s">
        <x:v>59</x:v>
      </x:c>
      <x:c r="E74" t="s">
        <x:v>61</x:v>
      </x:c>
      <x:c r="F74" t="s">
        <x:v>194</x:v>
      </x:c>
      <x:c r="G74" t="s">
        <x:v>356</x:v>
      </x:c>
      <x:c r="H74" t="s">
        <x:v>274</x:v>
      </x:c>
      <x:c r="I74">
        <x:v>149.9</x:v>
      </x:c>
      <x:c r="J74">
        <x:v>29.98</x:v>
      </x:c>
      <x:c r="K74" t="n">
        <x:f>IF(J74="","",IF(J74&lt;10,'Price Rules'!$B$5,IF(J74&lt;=50,'Price Rules'!$B$6,'Price Rules'!$B$7)))</x:f>
        <x:v>4</x:v>
      </x:c>
      <x:c r="L74">
        <x:f t="shared" si="1"/>
        <x:v>120</x:v>
      </x:c>
      <x:c r="M74" t="s">
        <x:v>357</x:v>
      </x:c>
      <x:c r="N74" t="s">
        <x:v>171</x:v>
      </x:c>
      <x:c r="O74" t="str">
        <x:v>Ready Stock</x:v>
      </x:c>
      <x:c r="P74">
        <x:v>80</x:v>
      </x:c>
      <x:c r="Q74" t="s">
        <x:v>198</x:v>
      </x:c>
      <x:c r="R74" t="s">
        <x:v>331</x:v>
      </x:c>
      <x:c r="S74" t="s">
        <x:v>174</x:v>
      </x:c>
      <x:c r="T74" t="s">
        <x:v>175</x:v>
      </x:c>
      <x:c r="U74" t="s">
        <x:v>176</x:v>
      </x:c>
      <x:c r="W74" t="str">
        <x:v>48-inch</x:v>
      </x:c>
    </x:row>
    <x:row r="75">
      <x:c r="A75" t="s">
        <x:v>25</x:v>
      </x:c>
      <x:c r="B75" t="s">
        <x:v>62</x:v>
      </x:c>
      <x:c r="C75" t="s">
        <x:v>167</x:v>
      </x:c>
      <x:c r="D75" t="s">
        <x:v>63</x:v>
      </x:c>
      <x:c r="E75" t="s">
        <x:v>65</x:v>
      </x:c>
      <x:c r="F75" t="s">
        <x:v>168</x:v>
      </x:c>
      <x:c r="G75" t="s">
        <x:v>358</x:v>
      </x:c>
      <x:c r="H75" t="s">
        <x:v>274</x:v>
      </x:c>
      <x:c r="I75">
        <x:v>15.9</x:v>
      </x:c>
      <x:c r="J75">
        <x:v>3.18</x:v>
      </x:c>
      <x:c r="K75" t="n">
        <x:f>IF(J75="","",IF(J75&lt;10,'Price Rules'!$B$5,IF(J75&lt;=50,'Price Rules'!$B$6,'Price Rules'!$B$7)))</x:f>
        <x:v>5</x:v>
      </x:c>
      <x:c r="L75">
        <x:f t="shared" si="1"/>
        <x:v>16</x:v>
      </x:c>
      <x:c r="M75" t="s">
        <x:v>64</x:v>
      </x:c>
      <x:c r="N75" t="s">
        <x:v>171</x:v>
      </x:c>
      <x:c r="O75" t="str">
        <x:v>Ready Stock</x:v>
      </x:c>
      <x:c r="P75">
        <x:v>83</x:v>
      </x:c>
      <x:c r="Q75" t="s">
        <x:v>172</x:v>
      </x:c>
      <x:c r="R75" t="s">
        <x:v>331</x:v>
      </x:c>
      <x:c r="S75" t="s">
        <x:v>174</x:v>
      </x:c>
      <x:c r="T75" t="s">
        <x:v>175</x:v>
      </x:c>
      <x:c r="U75" t="s">
        <x:v>176</x:v>
      </x:c>
      <x:c r="W75" t="str">
        <x:v>7-inch</x:v>
      </x:c>
    </x:row>
    <x:row r="76">
      <x:c r="A76" t="s">
        <x:v>25</x:v>
      </x:c>
      <x:c r="B76" t="s">
        <x:v>62</x:v>
      </x:c>
      <x:c r="C76" t="s">
        <x:v>177</x:v>
      </x:c>
      <x:c r="D76" t="s">
        <x:v>63</x:v>
      </x:c>
      <x:c r="E76" t="s">
        <x:v>65</x:v>
      </x:c>
      <x:c r="F76" t="s">
        <x:v>168</x:v>
      </x:c>
      <x:c r="G76" t="s">
        <x:v>359</x:v>
      </x:c>
      <x:c r="H76" t="s">
        <x:v>274</x:v>
      </x:c>
      <x:c r="I76">
        <x:v>23.9</x:v>
      </x:c>
      <x:c r="J76">
        <x:v>4.78</x:v>
      </x:c>
      <x:c r="K76" t="n">
        <x:f>IF(J76="","",IF(J76&lt;10,'Price Rules'!$B$5,IF(J76&lt;=50,'Price Rules'!$B$6,'Price Rules'!$B$7)))</x:f>
        <x:v>5</x:v>
      </x:c>
      <x:c r="L76">
        <x:f t="shared" si="1"/>
        <x:v>24</x:v>
      </x:c>
      <x:c r="M76" t="s">
        <x:v>360</x:v>
      </x:c>
      <x:c r="N76" t="s">
        <x:v>171</x:v>
      </x:c>
      <x:c r="O76" t="str">
        <x:v>Ready Stock</x:v>
      </x:c>
      <x:c r="P76">
        <x:v>84</x:v>
      </x:c>
      <x:c r="Q76" t="s">
        <x:v>172</x:v>
      </x:c>
      <x:c r="R76" t="s">
        <x:v>331</x:v>
      </x:c>
      <x:c r="S76" t="s">
        <x:v>174</x:v>
      </x:c>
      <x:c r="T76" t="s">
        <x:v>175</x:v>
      </x:c>
      <x:c r="U76" t="s">
        <x:v>176</x:v>
      </x:c>
      <x:c r="W76" t="str">
        <x:v>8-inch</x:v>
      </x:c>
    </x:row>
    <x:row r="77">
      <x:c r="A77" t="s">
        <x:v>25</x:v>
      </x:c>
      <x:c r="B77" t="s">
        <x:v>62</x:v>
      </x:c>
      <x:c r="C77" t="s">
        <x:v>181</x:v>
      </x:c>
      <x:c r="D77" t="s">
        <x:v>63</x:v>
      </x:c>
      <x:c r="E77" t="s">
        <x:v>65</x:v>
      </x:c>
      <x:c r="F77" t="s">
        <x:v>168</x:v>
      </x:c>
      <x:c r="G77" t="s">
        <x:v>361</x:v>
      </x:c>
      <x:c r="H77" t="s">
        <x:v>274</x:v>
      </x:c>
      <x:c r="I77">
        <x:v>27.9</x:v>
      </x:c>
      <x:c r="J77">
        <x:v>5.58</x:v>
      </x:c>
      <x:c r="K77" t="n">
        <x:f>IF(J77="","",IF(J77&lt;10,'Price Rules'!$B$5,IF(J77&lt;=50,'Price Rules'!$B$6,'Price Rules'!$B$7)))</x:f>
        <x:v>5</x:v>
      </x:c>
      <x:c r="L77">
        <x:f t="shared" si="1"/>
        <x:v>28</x:v>
      </x:c>
      <x:c r="M77" t="s">
        <x:v>362</x:v>
      </x:c>
      <x:c r="N77" t="s">
        <x:v>171</x:v>
      </x:c>
      <x:c r="O77" t="str">
        <x:v>Ready Stock</x:v>
      </x:c>
      <x:c r="P77">
        <x:v>85</x:v>
      </x:c>
      <x:c r="Q77" t="s">
        <x:v>172</x:v>
      </x:c>
      <x:c r="R77" t="s">
        <x:v>331</x:v>
      </x:c>
      <x:c r="S77" t="s">
        <x:v>174</x:v>
      </x:c>
      <x:c r="T77" t="s">
        <x:v>175</x:v>
      </x:c>
      <x:c r="U77" t="s">
        <x:v>176</x:v>
      </x:c>
      <x:c r="W77" t="str">
        <x:v>10-inch</x:v>
      </x:c>
    </x:row>
    <x:row r="78">
      <x:c r="A78" t="s">
        <x:v>25</x:v>
      </x:c>
      <x:c r="B78" t="s">
        <x:v>62</x:v>
      </x:c>
      <x:c r="C78" t="s">
        <x:v>185</x:v>
      </x:c>
      <x:c r="D78" t="s">
        <x:v>63</x:v>
      </x:c>
      <x:c r="E78" t="s">
        <x:v>65</x:v>
      </x:c>
      <x:c r="F78" t="s">
        <x:v>168</x:v>
      </x:c>
      <x:c r="G78" t="s">
        <x:v>363</x:v>
      </x:c>
      <x:c r="H78" t="s">
        <x:v>274</x:v>
      </x:c>
      <x:c r="I78">
        <x:v>33.9</x:v>
      </x:c>
      <x:c r="J78">
        <x:v>6.78</x:v>
      </x:c>
      <x:c r="K78" t="n">
        <x:f>IF(J78="","",IF(J78&lt;10,'Price Rules'!$B$5,IF(J78&lt;=50,'Price Rules'!$B$6,'Price Rules'!$B$7)))</x:f>
        <x:v>5</x:v>
      </x:c>
      <x:c r="L78">
        <x:f t="shared" si="1"/>
        <x:v>34</x:v>
      </x:c>
      <x:c r="M78" t="s">
        <x:v>364</x:v>
      </x:c>
      <x:c r="N78" t="s">
        <x:v>171</x:v>
      </x:c>
      <x:c r="O78" t="str">
        <x:v>Ready Stock</x:v>
      </x:c>
      <x:c r="P78">
        <x:v>86</x:v>
      </x:c>
      <x:c r="Q78" t="s">
        <x:v>172</x:v>
      </x:c>
      <x:c r="R78" t="s">
        <x:v>331</x:v>
      </x:c>
      <x:c r="S78" t="s">
        <x:v>174</x:v>
      </x:c>
      <x:c r="T78" t="s">
        <x:v>175</x:v>
      </x:c>
      <x:c r="U78" t="s">
        <x:v>176</x:v>
      </x:c>
      <x:c r="W78" t="str">
        <x:v>12-inch</x:v>
      </x:c>
    </x:row>
    <x:row r="79">
      <x:c r="A79" t="s">
        <x:v>25</x:v>
      </x:c>
      <x:c r="B79" t="s">
        <x:v>62</x:v>
      </x:c>
      <x:c r="C79" t="s">
        <x:v>189</x:v>
      </x:c>
      <x:c r="D79" t="s">
        <x:v>63</x:v>
      </x:c>
      <x:c r="E79" t="s">
        <x:v>65</x:v>
      </x:c>
      <x:c r="F79" t="s">
        <x:v>168</x:v>
      </x:c>
      <x:c r="G79" t="s">
        <x:v>365</x:v>
      </x:c>
      <x:c r="H79" t="s">
        <x:v>274</x:v>
      </x:c>
      <x:c r="I79">
        <x:v>35.9</x:v>
      </x:c>
      <x:c r="J79">
        <x:v>7.18</x:v>
      </x:c>
      <x:c r="K79" t="n">
        <x:f>IF(J79="","",IF(J79&lt;10,'Price Rules'!$B$5,IF(J79&lt;=50,'Price Rules'!$B$6,'Price Rules'!$B$7)))</x:f>
        <x:v>5</x:v>
      </x:c>
      <x:c r="L79">
        <x:f t="shared" si="1"/>
        <x:v>36</x:v>
      </x:c>
      <x:c r="M79" t="s">
        <x:v>366</x:v>
      </x:c>
      <x:c r="N79" t="s">
        <x:v>171</x:v>
      </x:c>
      <x:c r="O79" t="str">
        <x:v>Ready Stock</x:v>
      </x:c>
      <x:c r="P79">
        <x:v>87</x:v>
      </x:c>
      <x:c r="Q79" t="s">
        <x:v>172</x:v>
      </x:c>
      <x:c r="R79" t="s">
        <x:v>331</x:v>
      </x:c>
      <x:c r="S79" t="s">
        <x:v>174</x:v>
      </x:c>
      <x:c r="T79" t="s">
        <x:v>175</x:v>
      </x:c>
      <x:c r="U79" t="s">
        <x:v>176</x:v>
      </x:c>
      <x:c r="W79" t="str">
        <x:v>14-inch</x:v>
      </x:c>
    </x:row>
    <x:row r="80">
      <x:c r="A80" t="s">
        <x:v>25</x:v>
      </x:c>
      <x:c r="B80" t="s">
        <x:v>62</x:v>
      </x:c>
      <x:c r="C80" t="s">
        <x:v>193</x:v>
      </x:c>
      <x:c r="D80" t="s">
        <x:v>63</x:v>
      </x:c>
      <x:c r="E80" t="s">
        <x:v>65</x:v>
      </x:c>
      <x:c r="F80" t="s">
        <x:v>194</x:v>
      </x:c>
      <x:c r="G80" t="s">
        <x:v>367</x:v>
      </x:c>
      <x:c r="H80" t="s">
        <x:v>274</x:v>
      </x:c>
      <x:c r="I80">
        <x:v>55.9</x:v>
      </x:c>
      <x:c r="J80">
        <x:v>11.18</x:v>
      </x:c>
      <x:c r="K80" t="n">
        <x:f>IF(J80="","",IF(J80&lt;10,'Price Rules'!$B$5,IF(J80&lt;=50,'Price Rules'!$B$6,'Price Rules'!$B$7)))</x:f>
        <x:v>4</x:v>
      </x:c>
      <x:c r="L80">
        <x:f t="shared" si="1"/>
        <x:v>45</x:v>
      </x:c>
      <x:c r="M80" t="s">
        <x:v>368</x:v>
      </x:c>
      <x:c r="N80" t="s">
        <x:v>171</x:v>
      </x:c>
      <x:c r="O80" t="str">
        <x:v>Ready Stock</x:v>
      </x:c>
      <x:c r="P80">
        <x:v>88</x:v>
      </x:c>
      <x:c r="Q80" t="s">
        <x:v>198</x:v>
      </x:c>
      <x:c r="R80" t="s">
        <x:v>331</x:v>
      </x:c>
      <x:c r="S80" t="s">
        <x:v>174</x:v>
      </x:c>
      <x:c r="T80" t="s">
        <x:v>175</x:v>
      </x:c>
      <x:c r="U80" t="s">
        <x:v>176</x:v>
      </x:c>
      <x:c r="W80" t="str">
        <x:v>16-inch</x:v>
      </x:c>
    </x:row>
    <x:row r="81">
      <x:c r="A81" t="s">
        <x:v>25</x:v>
      </x:c>
      <x:c r="B81" t="s">
        <x:v>62</x:v>
      </x:c>
      <x:c r="C81" t="s">
        <x:v>199</x:v>
      </x:c>
      <x:c r="D81" t="s">
        <x:v>63</x:v>
      </x:c>
      <x:c r="E81" t="s">
        <x:v>65</x:v>
      </x:c>
      <x:c r="F81" t="s">
        <x:v>194</x:v>
      </x:c>
      <x:c r="G81" t="s">
        <x:v>369</x:v>
      </x:c>
      <x:c r="H81" t="s">
        <x:v>274</x:v>
      </x:c>
      <x:c r="I81">
        <x:v>58.8</x:v>
      </x:c>
      <x:c r="J81">
        <x:v>11.76</x:v>
      </x:c>
      <x:c r="K81" t="n">
        <x:f>IF(J81="","",IF(J81&lt;10,'Price Rules'!$B$5,IF(J81&lt;=50,'Price Rules'!$B$6,'Price Rules'!$B$7)))</x:f>
        <x:v>4</x:v>
      </x:c>
      <x:c r="L81">
        <x:f t="shared" si="1"/>
        <x:v>47</x:v>
      </x:c>
      <x:c r="M81" t="s">
        <x:v>370</x:v>
      </x:c>
      <x:c r="N81" t="s">
        <x:v>171</x:v>
      </x:c>
      <x:c r="O81" t="str">
        <x:v>Ready Stock</x:v>
      </x:c>
      <x:c r="P81">
        <x:v>89</x:v>
      </x:c>
      <x:c r="Q81" t="s">
        <x:v>198</x:v>
      </x:c>
      <x:c r="R81" t="s">
        <x:v>331</x:v>
      </x:c>
      <x:c r="S81" t="s">
        <x:v>174</x:v>
      </x:c>
      <x:c r="T81" t="s">
        <x:v>175</x:v>
      </x:c>
      <x:c r="U81" t="s">
        <x:v>176</x:v>
      </x:c>
      <x:c r="W81" t="str">
        <x:v>18-inch</x:v>
      </x:c>
    </x:row>
    <x:row r="82">
      <x:c r="A82" t="s">
        <x:v>25</x:v>
      </x:c>
      <x:c r="B82" t="s">
        <x:v>62</x:v>
      </x:c>
      <x:c r="C82" t="s">
        <x:v>203</x:v>
      </x:c>
      <x:c r="D82" t="s">
        <x:v>63</x:v>
      </x:c>
      <x:c r="E82" t="s">
        <x:v>65</x:v>
      </x:c>
      <x:c r="F82" t="s">
        <x:v>194</x:v>
      </x:c>
      <x:c r="G82" t="s">
        <x:v>371</x:v>
      </x:c>
      <x:c r="H82" t="s">
        <x:v>274</x:v>
      </x:c>
      <x:c r="I82">
        <x:v>65.9</x:v>
      </x:c>
      <x:c r="J82">
        <x:v>13.18</x:v>
      </x:c>
      <x:c r="K82" t="n">
        <x:f>IF(J82="","",IF(J82&lt;10,'Price Rules'!$B$5,IF(J82&lt;=50,'Price Rules'!$B$6,'Price Rules'!$B$7)))</x:f>
        <x:v>4</x:v>
      </x:c>
      <x:c r="L82">
        <x:f t="shared" si="1"/>
        <x:v>53</x:v>
      </x:c>
      <x:c r="M82" t="s">
        <x:v>372</x:v>
      </x:c>
      <x:c r="N82" t="s">
        <x:v>171</x:v>
      </x:c>
      <x:c r="O82" t="str">
        <x:v>Ready Stock</x:v>
      </x:c>
      <x:c r="P82">
        <x:v>90</x:v>
      </x:c>
      <x:c r="Q82" t="s">
        <x:v>198</x:v>
      </x:c>
      <x:c r="R82" t="s">
        <x:v>331</x:v>
      </x:c>
      <x:c r="S82" t="s">
        <x:v>174</x:v>
      </x:c>
      <x:c r="T82" t="s">
        <x:v>175</x:v>
      </x:c>
      <x:c r="U82" t="s">
        <x:v>176</x:v>
      </x:c>
      <x:c r="W82" t="str">
        <x:v>20-inch</x:v>
      </x:c>
    </x:row>
    <x:row r="83">
      <x:c r="A83" t="s">
        <x:v>25</x:v>
      </x:c>
      <x:c r="B83" t="s">
        <x:v>62</x:v>
      </x:c>
      <x:c r="C83" t="s">
        <x:v>207</x:v>
      </x:c>
      <x:c r="D83" t="s">
        <x:v>63</x:v>
      </x:c>
      <x:c r="E83" t="s">
        <x:v>65</x:v>
      </x:c>
      <x:c r="F83" t="s">
        <x:v>194</x:v>
      </x:c>
      <x:c r="G83" t="s">
        <x:v>373</x:v>
      </x:c>
      <x:c r="H83" t="s">
        <x:v>274</x:v>
      </x:c>
      <x:c r="I83">
        <x:v>89.9</x:v>
      </x:c>
      <x:c r="J83">
        <x:v>17.98</x:v>
      </x:c>
      <x:c r="K83" t="n">
        <x:f>IF(J83="","",IF(J83&lt;10,'Price Rules'!$B$5,IF(J83&lt;=50,'Price Rules'!$B$6,'Price Rules'!$B$7)))</x:f>
        <x:v>4</x:v>
      </x:c>
      <x:c r="L83">
        <x:f t="shared" si="1"/>
        <x:v>72</x:v>
      </x:c>
      <x:c r="M83" t="s">
        <x:v>374</x:v>
      </x:c>
      <x:c r="N83" t="s">
        <x:v>171</x:v>
      </x:c>
      <x:c r="O83" t="str">
        <x:v>Ready Stock</x:v>
      </x:c>
      <x:c r="P83">
        <x:v>91</x:v>
      </x:c>
      <x:c r="Q83" t="s">
        <x:v>198</x:v>
      </x:c>
      <x:c r="R83" t="s">
        <x:v>331</x:v>
      </x:c>
      <x:c r="S83" t="s">
        <x:v>174</x:v>
      </x:c>
      <x:c r="T83" t="s">
        <x:v>175</x:v>
      </x:c>
      <x:c r="U83" t="s">
        <x:v>176</x:v>
      </x:c>
      <x:c r="W83" t="str">
        <x:v>24-small</x:v>
      </x:c>
    </x:row>
    <x:row r="84">
      <x:c r="A84" t="s">
        <x:v>25</x:v>
      </x:c>
      <x:c r="B84" t="s">
        <x:v>62</x:v>
      </x:c>
      <x:c r="C84" t="s">
        <x:v>211</x:v>
      </x:c>
      <x:c r="D84" t="s">
        <x:v>63</x:v>
      </x:c>
      <x:c r="E84" t="s">
        <x:v>65</x:v>
      </x:c>
      <x:c r="F84" t="s">
        <x:v>194</x:v>
      </x:c>
      <x:c r="G84" t="s">
        <x:v>375</x:v>
      </x:c>
      <x:c r="H84" t="s">
        <x:v>274</x:v>
      </x:c>
      <x:c r="I84">
        <x:v>119</x:v>
      </x:c>
      <x:c r="J84">
        <x:v>23.8</x:v>
      </x:c>
      <x:c r="K84" t="n">
        <x:f>IF(J84="","",IF(J84&lt;10,'Price Rules'!$B$5,IF(J84&lt;=50,'Price Rules'!$B$6,'Price Rules'!$B$7)))</x:f>
        <x:v>4</x:v>
      </x:c>
      <x:c r="L84">
        <x:f t="shared" si="1"/>
        <x:v>95</x:v>
      </x:c>
      <x:c r="M84" t="s">
        <x:v>376</x:v>
      </x:c>
      <x:c r="N84" t="s">
        <x:v>171</x:v>
      </x:c>
      <x:c r="O84" t="str">
        <x:v>Ready Stock</x:v>
      </x:c>
      <x:c r="P84">
        <x:v>92</x:v>
      </x:c>
      <x:c r="Q84" t="s">
        <x:v>198</x:v>
      </x:c>
      <x:c r="R84" t="s">
        <x:v>331</x:v>
      </x:c>
      <x:c r="S84" t="s">
        <x:v>174</x:v>
      </x:c>
      <x:c r="T84" t="s">
        <x:v>175</x:v>
      </x:c>
      <x:c r="U84" t="s">
        <x:v>176</x:v>
      </x:c>
      <x:c r="W84" t="str">
        <x:v>30-inch</x:v>
      </x:c>
    </x:row>
    <x:row r="85">
      <x:c r="A85" t="s">
        <x:v>25</x:v>
      </x:c>
      <x:c r="B85" t="s">
        <x:v>62</x:v>
      </x:c>
      <x:c r="C85" t="s">
        <x:v>215</x:v>
      </x:c>
      <x:c r="D85" t="s">
        <x:v>63</x:v>
      </x:c>
      <x:c r="E85" t="s">
        <x:v>65</x:v>
      </x:c>
      <x:c r="F85" t="s">
        <x:v>194</x:v>
      </x:c>
      <x:c r="G85" t="s">
        <x:v>377</x:v>
      </x:c>
      <x:c r="H85" t="s">
        <x:v>274</x:v>
      </x:c>
      <x:c r="I85">
        <x:v>145.9</x:v>
      </x:c>
      <x:c r="J85">
        <x:v>29.18</x:v>
      </x:c>
      <x:c r="K85" t="n">
        <x:f>IF(J85="","",IF(J85&lt;10,'Price Rules'!$B$5,IF(J85&lt;=50,'Price Rules'!$B$6,'Price Rules'!$B$7)))</x:f>
        <x:v>4</x:v>
      </x:c>
      <x:c r="L85">
        <x:f t="shared" si="1"/>
        <x:v>117</x:v>
      </x:c>
      <x:c r="M85" t="s">
        <x:v>378</x:v>
      </x:c>
      <x:c r="N85" t="s">
        <x:v>171</x:v>
      </x:c>
      <x:c r="O85" t="str">
        <x:v>Ready Stock</x:v>
      </x:c>
      <x:c r="P85">
        <x:v>93</x:v>
      </x:c>
      <x:c r="Q85" t="s">
        <x:v>198</x:v>
      </x:c>
      <x:c r="R85" t="s">
        <x:v>331</x:v>
      </x:c>
      <x:c r="S85" t="s">
        <x:v>174</x:v>
      </x:c>
      <x:c r="T85" t="s">
        <x:v>175</x:v>
      </x:c>
      <x:c r="U85" t="s">
        <x:v>176</x:v>
      </x:c>
      <x:c r="W85" t="str">
        <x:v>32-inch</x:v>
      </x:c>
    </x:row>
    <x:row r="86">
      <x:c r="A86" t="s">
        <x:v>25</x:v>
      </x:c>
      <x:c r="B86" t="s">
        <x:v>62</x:v>
      </x:c>
      <x:c r="C86" t="s">
        <x:v>219</x:v>
      </x:c>
      <x:c r="D86" t="s">
        <x:v>63</x:v>
      </x:c>
      <x:c r="E86" t="s">
        <x:v>65</x:v>
      </x:c>
      <x:c r="F86" t="s">
        <x:v>194</x:v>
      </x:c>
      <x:c r="G86" t="s">
        <x:v>379</x:v>
      </x:c>
      <x:c r="H86" t="s">
        <x:v>274</x:v>
      </x:c>
      <x:c r="I86">
        <x:v>160</x:v>
      </x:c>
      <x:c r="J86">
        <x:v>32</x:v>
      </x:c>
      <x:c r="K86" t="n">
        <x:f>IF(J86="","",IF(J86&lt;10,'Price Rules'!$B$5,IF(J86&lt;=50,'Price Rules'!$B$6,'Price Rules'!$B$7)))</x:f>
        <x:v>4</x:v>
      </x:c>
      <x:c r="L86">
        <x:f t="shared" si="1"/>
        <x:v>128</x:v>
      </x:c>
      <x:c r="M86" t="s">
        <x:v>380</x:v>
      </x:c>
      <x:c r="N86" t="s">
        <x:v>171</x:v>
      </x:c>
      <x:c r="O86" t="str">
        <x:v>Ready Stock</x:v>
      </x:c>
      <x:c r="P86">
        <x:v>94</x:v>
      </x:c>
      <x:c r="Q86" t="s">
        <x:v>198</x:v>
      </x:c>
      <x:c r="R86" t="s">
        <x:v>331</x:v>
      </x:c>
      <x:c r="S86" t="s">
        <x:v>174</x:v>
      </x:c>
      <x:c r="T86" t="s">
        <x:v>175</x:v>
      </x:c>
      <x:c r="U86" t="s">
        <x:v>176</x:v>
      </x:c>
      <x:c r="W86" t="str">
        <x:v>36-inch</x:v>
      </x:c>
    </x:row>
    <x:row r="87">
      <x:c r="A87" t="s">
        <x:v>25</x:v>
      </x:c>
      <x:c r="B87" t="s">
        <x:v>66</x:v>
      </x:c>
      <x:c r="C87" t="s">
        <x:v>167</x:v>
      </x:c>
      <x:c r="D87" t="s">
        <x:v>381</x:v>
      </x:c>
      <x:c r="E87" t="s">
        <x:v>69</x:v>
      </x:c>
      <x:c r="F87" t="s">
        <x:v>168</x:v>
      </x:c>
      <x:c r="G87" t="s">
        <x:v>382</x:v>
      </x:c>
      <x:c r="H87" t="s">
        <x:v>274</x:v>
      </x:c>
      <x:c r="I87">
        <x:v>15.9</x:v>
      </x:c>
      <x:c r="J87">
        <x:v>3.18</x:v>
      </x:c>
      <x:c r="K87" t="n">
        <x:f>IF(J87="","",IF(J87&lt;10,'Price Rules'!$B$5,IF(J87&lt;=50,'Price Rules'!$B$6,'Price Rules'!$B$7)))</x:f>
        <x:v>5</x:v>
      </x:c>
      <x:c r="L87">
        <x:f t="shared" si="1"/>
        <x:v>16</x:v>
      </x:c>
      <x:c r="M87" t="s">
        <x:v>68</x:v>
      </x:c>
      <x:c r="N87" t="s">
        <x:v>171</x:v>
      </x:c>
      <x:c r="O87" t="str">
        <x:v>Ready Stock</x:v>
      </x:c>
      <x:c r="P87">
        <x:v>99</x:v>
      </x:c>
      <x:c r="Q87" t="s">
        <x:v>172</x:v>
      </x:c>
      <x:c r="R87" t="s">
        <x:v>275</x:v>
      </x:c>
      <x:c r="S87" t="s">
        <x:v>174</x:v>
      </x:c>
      <x:c r="T87" t="s">
        <x:v>175</x:v>
      </x:c>
      <x:c r="U87" t="s">
        <x:v>176</x:v>
      </x:c>
      <x:c r="W87" t="str">
        <x:v>7-inch</x:v>
      </x:c>
    </x:row>
    <x:row r="88">
      <x:c r="A88" t="s">
        <x:v>25</x:v>
      </x:c>
      <x:c r="B88" t="s">
        <x:v>66</x:v>
      </x:c>
      <x:c r="C88" t="s">
        <x:v>177</x:v>
      </x:c>
      <x:c r="D88" t="s">
        <x:v>381</x:v>
      </x:c>
      <x:c r="E88" t="s">
        <x:v>69</x:v>
      </x:c>
      <x:c r="F88" t="s">
        <x:v>168</x:v>
      </x:c>
      <x:c r="G88" t="s">
        <x:v>383</x:v>
      </x:c>
      <x:c r="H88" t="s">
        <x:v>274</x:v>
      </x:c>
      <x:c r="I88">
        <x:v>23.9</x:v>
      </x:c>
      <x:c r="J88">
        <x:v>4.78</x:v>
      </x:c>
      <x:c r="K88" t="n">
        <x:f>IF(J88="","",IF(J88&lt;10,'Price Rules'!$B$5,IF(J88&lt;=50,'Price Rules'!$B$6,'Price Rules'!$B$7)))</x:f>
        <x:v>5</x:v>
      </x:c>
      <x:c r="L88">
        <x:f t="shared" si="1"/>
        <x:v>24</x:v>
      </x:c>
      <x:c r="M88" t="s">
        <x:v>384</x:v>
      </x:c>
      <x:c r="N88" t="s">
        <x:v>171</x:v>
      </x:c>
      <x:c r="O88" t="str">
        <x:v>Ready Stock</x:v>
      </x:c>
      <x:c r="P88">
        <x:v>100</x:v>
      </x:c>
      <x:c r="Q88" t="s">
        <x:v>172</x:v>
      </x:c>
      <x:c r="R88" t="s">
        <x:v>275</x:v>
      </x:c>
      <x:c r="S88" t="s">
        <x:v>174</x:v>
      </x:c>
      <x:c r="T88" t="s">
        <x:v>175</x:v>
      </x:c>
      <x:c r="U88" t="s">
        <x:v>176</x:v>
      </x:c>
      <x:c r="W88" t="str">
        <x:v>8-inch</x:v>
      </x:c>
    </x:row>
    <x:row r="89">
      <x:c r="A89" t="s">
        <x:v>25</x:v>
      </x:c>
      <x:c r="B89" t="s">
        <x:v>66</x:v>
      </x:c>
      <x:c r="C89" t="s">
        <x:v>181</x:v>
      </x:c>
      <x:c r="D89" t="s">
        <x:v>381</x:v>
      </x:c>
      <x:c r="E89" t="s">
        <x:v>69</x:v>
      </x:c>
      <x:c r="F89" t="s">
        <x:v>168</x:v>
      </x:c>
      <x:c r="G89" t="s">
        <x:v>385</x:v>
      </x:c>
      <x:c r="H89" t="s">
        <x:v>274</x:v>
      </x:c>
      <x:c r="I89">
        <x:v>27.9</x:v>
      </x:c>
      <x:c r="J89">
        <x:v>5.58</x:v>
      </x:c>
      <x:c r="K89" t="n">
        <x:f>IF(J89="","",IF(J89&lt;10,'Price Rules'!$B$5,IF(J89&lt;=50,'Price Rules'!$B$6,'Price Rules'!$B$7)))</x:f>
        <x:v>5</x:v>
      </x:c>
      <x:c r="L89">
        <x:f t="shared" si="1"/>
        <x:v>28</x:v>
      </x:c>
      <x:c r="M89" t="s">
        <x:v>386</x:v>
      </x:c>
      <x:c r="N89" t="s">
        <x:v>171</x:v>
      </x:c>
      <x:c r="O89" t="str">
        <x:v>Ready Stock</x:v>
      </x:c>
      <x:c r="P89">
        <x:v>101</x:v>
      </x:c>
      <x:c r="Q89" t="s">
        <x:v>172</x:v>
      </x:c>
      <x:c r="R89" t="s">
        <x:v>275</x:v>
      </x:c>
      <x:c r="S89" t="s">
        <x:v>174</x:v>
      </x:c>
      <x:c r="T89" t="s">
        <x:v>175</x:v>
      </x:c>
      <x:c r="U89" t="s">
        <x:v>176</x:v>
      </x:c>
      <x:c r="W89" t="str">
        <x:v>10-inch</x:v>
      </x:c>
    </x:row>
    <x:row r="90">
      <x:c r="A90" t="s">
        <x:v>25</x:v>
      </x:c>
      <x:c r="B90" t="s">
        <x:v>66</x:v>
      </x:c>
      <x:c r="C90" t="s">
        <x:v>185</x:v>
      </x:c>
      <x:c r="D90" t="s">
        <x:v>381</x:v>
      </x:c>
      <x:c r="E90" t="s">
        <x:v>69</x:v>
      </x:c>
      <x:c r="F90" t="s">
        <x:v>168</x:v>
      </x:c>
      <x:c r="G90" t="s">
        <x:v>387</x:v>
      </x:c>
      <x:c r="H90" t="s">
        <x:v>274</x:v>
      </x:c>
      <x:c r="I90">
        <x:v>33.9</x:v>
      </x:c>
      <x:c r="J90">
        <x:v>6.78</x:v>
      </x:c>
      <x:c r="K90" t="n">
        <x:f>IF(J90="","",IF(J90&lt;10,'Price Rules'!$B$5,IF(J90&lt;=50,'Price Rules'!$B$6,'Price Rules'!$B$7)))</x:f>
        <x:v>5</x:v>
      </x:c>
      <x:c r="L90">
        <x:f t="shared" si="1"/>
        <x:v>34</x:v>
      </x:c>
      <x:c r="M90" t="s">
        <x:v>388</x:v>
      </x:c>
      <x:c r="N90" t="s">
        <x:v>171</x:v>
      </x:c>
      <x:c r="O90" t="str">
        <x:v>Ready Stock</x:v>
      </x:c>
      <x:c r="P90">
        <x:v>102</x:v>
      </x:c>
      <x:c r="Q90" t="s">
        <x:v>172</x:v>
      </x:c>
      <x:c r="R90" t="s">
        <x:v>275</x:v>
      </x:c>
      <x:c r="S90" t="s">
        <x:v>174</x:v>
      </x:c>
      <x:c r="T90" t="s">
        <x:v>175</x:v>
      </x:c>
      <x:c r="U90" t="s">
        <x:v>176</x:v>
      </x:c>
      <x:c r="W90" t="str">
        <x:v>12-inch</x:v>
      </x:c>
    </x:row>
    <x:row r="91">
      <x:c r="A91" t="s">
        <x:v>25</x:v>
      </x:c>
      <x:c r="B91" t="s">
        <x:v>66</x:v>
      </x:c>
      <x:c r="C91" t="s">
        <x:v>189</x:v>
      </x:c>
      <x:c r="D91" t="s">
        <x:v>381</x:v>
      </x:c>
      <x:c r="E91" t="s">
        <x:v>69</x:v>
      </x:c>
      <x:c r="F91" t="s">
        <x:v>168</x:v>
      </x:c>
      <x:c r="G91" t="s">
        <x:v>389</x:v>
      </x:c>
      <x:c r="H91" t="s">
        <x:v>274</x:v>
      </x:c>
      <x:c r="I91">
        <x:v>35.9</x:v>
      </x:c>
      <x:c r="J91">
        <x:v>7.18</x:v>
      </x:c>
      <x:c r="K91" t="n">
        <x:f>IF(J91="","",IF(J91&lt;10,'Price Rules'!$B$5,IF(J91&lt;=50,'Price Rules'!$B$6,'Price Rules'!$B$7)))</x:f>
        <x:v>5</x:v>
      </x:c>
      <x:c r="L91">
        <x:f t="shared" si="1"/>
        <x:v>36</x:v>
      </x:c>
      <x:c r="M91" t="s">
        <x:v>390</x:v>
      </x:c>
      <x:c r="N91" t="s">
        <x:v>171</x:v>
      </x:c>
      <x:c r="O91" t="str">
        <x:v>Ready Stock</x:v>
      </x:c>
      <x:c r="P91">
        <x:v>103</x:v>
      </x:c>
      <x:c r="Q91" t="s">
        <x:v>172</x:v>
      </x:c>
      <x:c r="R91" t="s">
        <x:v>275</x:v>
      </x:c>
      <x:c r="S91" t="s">
        <x:v>174</x:v>
      </x:c>
      <x:c r="T91" t="s">
        <x:v>175</x:v>
      </x:c>
      <x:c r="U91" t="s">
        <x:v>176</x:v>
      </x:c>
      <x:c r="W91" t="str">
        <x:v>14-inch</x:v>
      </x:c>
    </x:row>
    <x:row r="92">
      <x:c r="A92" t="s">
        <x:v>25</x:v>
      </x:c>
      <x:c r="B92" t="s">
        <x:v>66</x:v>
      </x:c>
      <x:c r="C92" t="s">
        <x:v>193</x:v>
      </x:c>
      <x:c r="D92" t="s">
        <x:v>381</x:v>
      </x:c>
      <x:c r="E92" t="s">
        <x:v>69</x:v>
      </x:c>
      <x:c r="F92" t="s">
        <x:v>194</x:v>
      </x:c>
      <x:c r="G92" t="s">
        <x:v>391</x:v>
      </x:c>
      <x:c r="H92" t="s">
        <x:v>274</x:v>
      </x:c>
      <x:c r="I92">
        <x:v>55.9</x:v>
      </x:c>
      <x:c r="J92">
        <x:v>11.18</x:v>
      </x:c>
      <x:c r="K92" t="n">
        <x:f>IF(J92="","",IF(J92&lt;10,'Price Rules'!$B$5,IF(J92&lt;=50,'Price Rules'!$B$6,'Price Rules'!$B$7)))</x:f>
        <x:v>4</x:v>
      </x:c>
      <x:c r="L92">
        <x:f t="shared" si="1"/>
        <x:v>45</x:v>
      </x:c>
      <x:c r="M92" t="s">
        <x:v>392</x:v>
      </x:c>
      <x:c r="N92" t="s">
        <x:v>171</x:v>
      </x:c>
      <x:c r="O92" t="str">
        <x:v>Ready Stock</x:v>
      </x:c>
      <x:c r="P92">
        <x:v>104</x:v>
      </x:c>
      <x:c r="Q92" t="s">
        <x:v>198</x:v>
      </x:c>
      <x:c r="R92" t="s">
        <x:v>275</x:v>
      </x:c>
      <x:c r="S92" t="s">
        <x:v>174</x:v>
      </x:c>
      <x:c r="T92" t="s">
        <x:v>175</x:v>
      </x:c>
      <x:c r="U92" t="s">
        <x:v>176</x:v>
      </x:c>
      <x:c r="W92" t="str">
        <x:v>16-inch</x:v>
      </x:c>
    </x:row>
    <x:row r="93">
      <x:c r="A93" t="s">
        <x:v>25</x:v>
      </x:c>
      <x:c r="B93" t="s">
        <x:v>66</x:v>
      </x:c>
      <x:c r="C93" t="s">
        <x:v>199</x:v>
      </x:c>
      <x:c r="D93" t="s">
        <x:v>381</x:v>
      </x:c>
      <x:c r="E93" t="s">
        <x:v>69</x:v>
      </x:c>
      <x:c r="F93" t="s">
        <x:v>194</x:v>
      </x:c>
      <x:c r="G93" t="s">
        <x:v>393</x:v>
      </x:c>
      <x:c r="H93" t="s">
        <x:v>274</x:v>
      </x:c>
      <x:c r="I93">
        <x:v>58.8</x:v>
      </x:c>
      <x:c r="J93">
        <x:v>11.76</x:v>
      </x:c>
      <x:c r="K93" t="n">
        <x:f>IF(J93="","",IF(J93&lt;10,'Price Rules'!$B$5,IF(J93&lt;=50,'Price Rules'!$B$6,'Price Rules'!$B$7)))</x:f>
        <x:v>4</x:v>
      </x:c>
      <x:c r="L93">
        <x:f t="shared" si="1"/>
        <x:v>47</x:v>
      </x:c>
      <x:c r="M93" t="s">
        <x:v>394</x:v>
      </x:c>
      <x:c r="N93" t="s">
        <x:v>171</x:v>
      </x:c>
      <x:c r="O93" t="str">
        <x:v>Ready Stock</x:v>
      </x:c>
      <x:c r="P93">
        <x:v>105</x:v>
      </x:c>
      <x:c r="Q93" t="s">
        <x:v>198</x:v>
      </x:c>
      <x:c r="R93" t="s">
        <x:v>275</x:v>
      </x:c>
      <x:c r="S93" t="s">
        <x:v>174</x:v>
      </x:c>
      <x:c r="T93" t="s">
        <x:v>175</x:v>
      </x:c>
      <x:c r="U93" t="s">
        <x:v>176</x:v>
      </x:c>
      <x:c r="W93" t="str">
        <x:v>18-inch</x:v>
      </x:c>
    </x:row>
    <x:row r="94">
      <x:c r="A94" t="s">
        <x:v>25</x:v>
      </x:c>
      <x:c r="B94" t="s">
        <x:v>66</x:v>
      </x:c>
      <x:c r="C94" t="s">
        <x:v>203</x:v>
      </x:c>
      <x:c r="D94" t="s">
        <x:v>381</x:v>
      </x:c>
      <x:c r="E94" t="s">
        <x:v>69</x:v>
      </x:c>
      <x:c r="F94" t="s">
        <x:v>194</x:v>
      </x:c>
      <x:c r="G94" t="s">
        <x:v>395</x:v>
      </x:c>
      <x:c r="H94" t="s">
        <x:v>274</x:v>
      </x:c>
      <x:c r="I94">
        <x:v>65.9</x:v>
      </x:c>
      <x:c r="J94">
        <x:v>13.18</x:v>
      </x:c>
      <x:c r="K94" t="n">
        <x:f>IF(J94="","",IF(J94&lt;10,'Price Rules'!$B$5,IF(J94&lt;=50,'Price Rules'!$B$6,'Price Rules'!$B$7)))</x:f>
        <x:v>4</x:v>
      </x:c>
      <x:c r="L94">
        <x:f t="shared" si="1"/>
        <x:v>53</x:v>
      </x:c>
      <x:c r="M94" t="s">
        <x:v>396</x:v>
      </x:c>
      <x:c r="N94" t="s">
        <x:v>171</x:v>
      </x:c>
      <x:c r="O94" t="str">
        <x:v>Ready Stock</x:v>
      </x:c>
      <x:c r="P94">
        <x:v>106</x:v>
      </x:c>
      <x:c r="Q94" t="s">
        <x:v>198</x:v>
      </x:c>
      <x:c r="R94" t="s">
        <x:v>275</x:v>
      </x:c>
      <x:c r="S94" t="s">
        <x:v>174</x:v>
      </x:c>
      <x:c r="T94" t="s">
        <x:v>175</x:v>
      </x:c>
      <x:c r="U94" t="s">
        <x:v>176</x:v>
      </x:c>
      <x:c r="W94" t="str">
        <x:v>20-inch</x:v>
      </x:c>
    </x:row>
    <x:row r="95">
      <x:c r="A95" t="s">
        <x:v>25</x:v>
      </x:c>
      <x:c r="B95" t="s">
        <x:v>66</x:v>
      </x:c>
      <x:c r="C95" t="s">
        <x:v>207</x:v>
      </x:c>
      <x:c r="D95" t="s">
        <x:v>381</x:v>
      </x:c>
      <x:c r="E95" t="s">
        <x:v>69</x:v>
      </x:c>
      <x:c r="F95" t="s">
        <x:v>194</x:v>
      </x:c>
      <x:c r="G95" t="s">
        <x:v>397</x:v>
      </x:c>
      <x:c r="H95" t="s">
        <x:v>274</x:v>
      </x:c>
      <x:c r="I95">
        <x:v>89.9</x:v>
      </x:c>
      <x:c r="J95">
        <x:v>17.98</x:v>
      </x:c>
      <x:c r="K95" t="n">
        <x:f>IF(J95="","",IF(J95&lt;10,'Price Rules'!$B$5,IF(J95&lt;=50,'Price Rules'!$B$6,'Price Rules'!$B$7)))</x:f>
        <x:v>4</x:v>
      </x:c>
      <x:c r="L95">
        <x:f t="shared" si="1"/>
        <x:v>72</x:v>
      </x:c>
      <x:c r="M95" t="s">
        <x:v>398</x:v>
      </x:c>
      <x:c r="N95" t="s">
        <x:v>171</x:v>
      </x:c>
      <x:c r="O95" t="str">
        <x:v>Ready Stock</x:v>
      </x:c>
      <x:c r="P95">
        <x:v>107</x:v>
      </x:c>
      <x:c r="Q95" t="s">
        <x:v>198</x:v>
      </x:c>
      <x:c r="R95" t="s">
        <x:v>275</x:v>
      </x:c>
      <x:c r="S95" t="s">
        <x:v>174</x:v>
      </x:c>
      <x:c r="T95" t="s">
        <x:v>175</x:v>
      </x:c>
      <x:c r="U95" t="s">
        <x:v>176</x:v>
      </x:c>
      <x:c r="W95" t="str">
        <x:v>24-small</x:v>
      </x:c>
    </x:row>
    <x:row r="96">
      <x:c r="A96" t="s">
        <x:v>25</x:v>
      </x:c>
      <x:c r="B96" t="s">
        <x:v>66</x:v>
      </x:c>
      <x:c r="C96" t="s">
        <x:v>211</x:v>
      </x:c>
      <x:c r="D96" t="s">
        <x:v>381</x:v>
      </x:c>
      <x:c r="E96" t="s">
        <x:v>69</x:v>
      </x:c>
      <x:c r="F96" t="s">
        <x:v>194</x:v>
      </x:c>
      <x:c r="G96" t="s">
        <x:v>399</x:v>
      </x:c>
      <x:c r="H96" t="s">
        <x:v>274</x:v>
      </x:c>
      <x:c r="I96">
        <x:v>119</x:v>
      </x:c>
      <x:c r="J96">
        <x:v>23.8</x:v>
      </x:c>
      <x:c r="K96" t="n">
        <x:f>IF(J96="","",IF(J96&lt;10,'Price Rules'!$B$5,IF(J96&lt;=50,'Price Rules'!$B$6,'Price Rules'!$B$7)))</x:f>
        <x:v>4</x:v>
      </x:c>
      <x:c r="L96">
        <x:f t="shared" si="1"/>
        <x:v>95</x:v>
      </x:c>
      <x:c r="M96" t="s">
        <x:v>400</x:v>
      </x:c>
      <x:c r="N96" t="s">
        <x:v>171</x:v>
      </x:c>
      <x:c r="O96" t="str">
        <x:v>Ready Stock</x:v>
      </x:c>
      <x:c r="P96">
        <x:v>108</x:v>
      </x:c>
      <x:c r="Q96" t="s">
        <x:v>198</x:v>
      </x:c>
      <x:c r="R96" t="s">
        <x:v>275</x:v>
      </x:c>
      <x:c r="S96" t="s">
        <x:v>174</x:v>
      </x:c>
      <x:c r="T96" t="s">
        <x:v>175</x:v>
      </x:c>
      <x:c r="U96" t="s">
        <x:v>176</x:v>
      </x:c>
      <x:c r="W96" t="str">
        <x:v>30-inch</x:v>
      </x:c>
    </x:row>
    <x:row r="97">
      <x:c r="A97" t="s">
        <x:v>25</x:v>
      </x:c>
      <x:c r="B97" t="s">
        <x:v>66</x:v>
      </x:c>
      <x:c r="C97" t="s">
        <x:v>215</x:v>
      </x:c>
      <x:c r="D97" t="s">
        <x:v>381</x:v>
      </x:c>
      <x:c r="E97" t="s">
        <x:v>69</x:v>
      </x:c>
      <x:c r="F97" t="s">
        <x:v>194</x:v>
      </x:c>
      <x:c r="G97" t="s">
        <x:v>401</x:v>
      </x:c>
      <x:c r="H97" t="s">
        <x:v>274</x:v>
      </x:c>
      <x:c r="I97">
        <x:v>145.9</x:v>
      </x:c>
      <x:c r="J97">
        <x:v>29.18</x:v>
      </x:c>
      <x:c r="K97" t="n">
        <x:f>IF(J97="","",IF(J97&lt;10,'Price Rules'!$B$5,IF(J97&lt;=50,'Price Rules'!$B$6,'Price Rules'!$B$7)))</x:f>
        <x:v>4</x:v>
      </x:c>
      <x:c r="L97">
        <x:f t="shared" si="1"/>
        <x:v>117</x:v>
      </x:c>
      <x:c r="M97" t="s">
        <x:v>402</x:v>
      </x:c>
      <x:c r="N97" t="s">
        <x:v>171</x:v>
      </x:c>
      <x:c r="O97" t="str">
        <x:v>Ready Stock</x:v>
      </x:c>
      <x:c r="P97">
        <x:v>109</x:v>
      </x:c>
      <x:c r="Q97" t="s">
        <x:v>198</x:v>
      </x:c>
      <x:c r="R97" t="s">
        <x:v>275</x:v>
      </x:c>
      <x:c r="S97" t="s">
        <x:v>174</x:v>
      </x:c>
      <x:c r="T97" t="s">
        <x:v>175</x:v>
      </x:c>
      <x:c r="U97" t="s">
        <x:v>176</x:v>
      </x:c>
      <x:c r="W97" t="str">
        <x:v>32-inch</x:v>
      </x:c>
    </x:row>
    <x:row r="98">
      <x:c r="A98" t="s">
        <x:v>25</x:v>
      </x:c>
      <x:c r="B98" t="s">
        <x:v>66</x:v>
      </x:c>
      <x:c r="C98" t="s">
        <x:v>219</x:v>
      </x:c>
      <x:c r="D98" t="s">
        <x:v>381</x:v>
      </x:c>
      <x:c r="E98" t="s">
        <x:v>69</x:v>
      </x:c>
      <x:c r="F98" t="s">
        <x:v>194</x:v>
      </x:c>
      <x:c r="G98" t="s">
        <x:v>403</x:v>
      </x:c>
      <x:c r="H98" t="s">
        <x:v>274</x:v>
      </x:c>
      <x:c r="I98">
        <x:v>160</x:v>
      </x:c>
      <x:c r="J98">
        <x:v>32</x:v>
      </x:c>
      <x:c r="K98" t="n">
        <x:f>IF(J98="","",IF(J98&lt;10,'Price Rules'!$B$5,IF(J98&lt;=50,'Price Rules'!$B$6,'Price Rules'!$B$7)))</x:f>
        <x:v>4</x:v>
      </x:c>
      <x:c r="L98">
        <x:f t="shared" si="1"/>
        <x:v>128</x:v>
      </x:c>
      <x:c r="M98" t="s">
        <x:v>404</x:v>
      </x:c>
      <x:c r="N98" t="s">
        <x:v>171</x:v>
      </x:c>
      <x:c r="O98" t="str">
        <x:v>Ready Stock</x:v>
      </x:c>
      <x:c r="P98">
        <x:v>110</x:v>
      </x:c>
      <x:c r="Q98" t="s">
        <x:v>198</x:v>
      </x:c>
      <x:c r="R98" t="s">
        <x:v>275</x:v>
      </x:c>
      <x:c r="S98" t="s">
        <x:v>174</x:v>
      </x:c>
      <x:c r="T98" t="s">
        <x:v>175</x:v>
      </x:c>
      <x:c r="U98" t="s">
        <x:v>176</x:v>
      </x:c>
      <x:c r="W98" t="str">
        <x:v>36-inch</x:v>
      </x:c>
    </x:row>
    <x:row r="99">
      <x:c r="A99" t="s">
        <x:v>31</x:v>
      </x:c>
      <x:c r="B99" t="s">
        <x:v>70</x:v>
      </x:c>
      <x:c r="C99" t="s">
        <x:v>207</x:v>
      </x:c>
      <x:c r="D99" t="s">
        <x:v>71</x:v>
      </x:c>
      <x:c r="E99" t="s">
        <x:v>73</x:v>
      </x:c>
      <x:c r="F99" t="s">
        <x:v>194</x:v>
      </x:c>
      <x:c r="G99" t="s">
        <x:v>405</x:v>
      </x:c>
      <x:c r="H99" t="s">
        <x:v>274</x:v>
      </x:c>
      <x:c r="I99">
        <x:v>97.65</x:v>
      </x:c>
      <x:c r="J99">
        <x:v>19.53</x:v>
      </x:c>
      <x:c r="K99" t="n">
        <x:f>IF(J99="","",IF(J99&lt;10,'Price Rules'!$B$5,IF(J99&lt;=50,'Price Rules'!$B$6,'Price Rules'!$B$7)))</x:f>
        <x:v>4</x:v>
      </x:c>
      <x:c r="L99">
        <x:f t="shared" si="1"/>
        <x:v>78</x:v>
      </x:c>
      <x:c r="M99" t="s">
        <x:v>72</x:v>
      </x:c>
      <x:c r="N99" t="s">
        <x:v>171</x:v>
      </x:c>
      <x:c r="O99" t="str">
        <x:v>Ready Stock</x:v>
      </x:c>
      <x:c r="P99">
        <x:v>117</x:v>
      </x:c>
      <x:c r="Q99" t="s">
        <x:v>198</x:v>
      </x:c>
      <x:c r="R99" t="s">
        <x:v>406</x:v>
      </x:c>
      <x:c r="S99" t="s">
        <x:v>174</x:v>
      </x:c>
      <x:c r="T99" t="s">
        <x:v>175</x:v>
      </x:c>
      <x:c r="U99" t="s">
        <x:v>407</x:v>
      </x:c>
      <x:c r="W99" t="str">
        <x:v>24-small</x:v>
      </x:c>
    </x:row>
    <x:row r="100">
      <x:c r="A100" t="s">
        <x:v>31</x:v>
      </x:c>
      <x:c r="B100" t="s">
        <x:v>70</x:v>
      </x:c>
      <x:c r="C100" t="s">
        <x:v>211</x:v>
      </x:c>
      <x:c r="D100" t="s">
        <x:v>71</x:v>
      </x:c>
      <x:c r="E100" t="s">
        <x:v>73</x:v>
      </x:c>
      <x:c r="F100" t="s">
        <x:v>194</x:v>
      </x:c>
      <x:c r="G100" t="s">
        <x:v>408</x:v>
      </x:c>
      <x:c r="H100" t="s">
        <x:v>274</x:v>
      </x:c>
      <x:c r="I100">
        <x:v>162.36</x:v>
      </x:c>
      <x:c r="J100">
        <x:v>32.47</x:v>
      </x:c>
      <x:c r="K100" t="n">
        <x:f>IF(J100="","",IF(J100&lt;10,'Price Rules'!$B$5,IF(J100&lt;=50,'Price Rules'!$B$6,'Price Rules'!$B$7)))</x:f>
        <x:v>4</x:v>
      </x:c>
      <x:c r="L100">
        <x:f t="shared" si="1"/>
        <x:v>130</x:v>
      </x:c>
      <x:c r="M100" t="s">
        <x:v>409</x:v>
      </x:c>
      <x:c r="N100" t="s">
        <x:v>171</x:v>
      </x:c>
      <x:c r="O100" t="str">
        <x:v>Ready Stock</x:v>
      </x:c>
      <x:c r="P100">
        <x:v>118</x:v>
      </x:c>
      <x:c r="Q100" t="s">
        <x:v>198</x:v>
      </x:c>
      <x:c r="R100" t="s">
        <x:v>406</x:v>
      </x:c>
      <x:c r="S100" t="s">
        <x:v>174</x:v>
      </x:c>
      <x:c r="T100" t="s">
        <x:v>175</x:v>
      </x:c>
      <x:c r="U100" t="s">
        <x:v>407</x:v>
      </x:c>
      <x:c r="W100" t="str">
        <x:v>30-inch</x:v>
      </x:c>
    </x:row>
    <x:row r="101">
      <x:c r="A101" t="s">
        <x:v>31</x:v>
      </x:c>
      <x:c r="B101" t="s">
        <x:v>70</x:v>
      </x:c>
      <x:c r="C101" t="s">
        <x:v>219</x:v>
      </x:c>
      <x:c r="D101" t="s">
        <x:v>71</x:v>
      </x:c>
      <x:c r="E101" t="s">
        <x:v>73</x:v>
      </x:c>
      <x:c r="F101" t="s">
        <x:v>194</x:v>
      </x:c>
      <x:c r="G101" t="s">
        <x:v>410</x:v>
      </x:c>
      <x:c r="H101" t="s">
        <x:v>274</x:v>
      </x:c>
      <x:c r="I101">
        <x:v>170.32</x:v>
      </x:c>
      <x:c r="J101">
        <x:v>34.06</x:v>
      </x:c>
      <x:c r="K101" t="n">
        <x:f>IF(J101="","",IF(J101&lt;10,'Price Rules'!$B$5,IF(J101&lt;=50,'Price Rules'!$B$6,'Price Rules'!$B$7)))</x:f>
        <x:v>4</x:v>
      </x:c>
      <x:c r="L101">
        <x:f t="shared" si="1"/>
        <x:v>136</x:v>
      </x:c>
      <x:c r="M101" t="s">
        <x:v>411</x:v>
      </x:c>
      <x:c r="N101" t="s">
        <x:v>171</x:v>
      </x:c>
      <x:c r="O101" t="str">
        <x:v>Ready Stock</x:v>
      </x:c>
      <x:c r="P101">
        <x:v>119</x:v>
      </x:c>
      <x:c r="Q101" t="s">
        <x:v>198</x:v>
      </x:c>
      <x:c r="R101" t="s">
        <x:v>406</x:v>
      </x:c>
      <x:c r="S101" t="s">
        <x:v>174</x:v>
      </x:c>
      <x:c r="T101" t="s">
        <x:v>175</x:v>
      </x:c>
      <x:c r="U101" t="s">
        <x:v>407</x:v>
      </x:c>
      <x:c r="W101" t="str">
        <x:v>36-inch</x:v>
      </x:c>
    </x:row>
    <x:row r="102">
      <x:c r="A102" t="s">
        <x:v>31</x:v>
      </x:c>
      <x:c r="B102" t="s">
        <x:v>70</x:v>
      </x:c>
      <x:c r="C102" t="s">
        <x:v>223</x:v>
      </x:c>
      <x:c r="D102" t="s">
        <x:v>71</x:v>
      </x:c>
      <x:c r="E102" t="s">
        <x:v>73</x:v>
      </x:c>
      <x:c r="F102" t="s">
        <x:v>194</x:v>
      </x:c>
      <x:c r="G102" t="s">
        <x:v>412</x:v>
      </x:c>
      <x:c r="H102" t="s">
        <x:v>274</x:v>
      </x:c>
      <x:c r="I102">
        <x:v>239.2</x:v>
      </x:c>
      <x:c r="J102">
        <x:v>47.84</x:v>
      </x:c>
      <x:c r="K102" t="n">
        <x:f>IF(J102="","",IF(J102&lt;10,'Price Rules'!$B$5,IF(J102&lt;=50,'Price Rules'!$B$6,'Price Rules'!$B$7)))</x:f>
        <x:v>4</x:v>
      </x:c>
      <x:c r="L102">
        <x:f t="shared" si="1"/>
        <x:v>191</x:v>
      </x:c>
      <x:c r="M102" t="s">
        <x:v>413</x:v>
      </x:c>
      <x:c r="N102" t="s">
        <x:v>171</x:v>
      </x:c>
      <x:c r="O102" t="str">
        <x:v>Ready Stock</x:v>
      </x:c>
      <x:c r="P102">
        <x:v>120</x:v>
      </x:c>
      <x:c r="Q102" t="s">
        <x:v>198</x:v>
      </x:c>
      <x:c r="R102" t="s">
        <x:v>406</x:v>
      </x:c>
      <x:c r="S102" t="s">
        <x:v>174</x:v>
      </x:c>
      <x:c r="T102" t="s">
        <x:v>175</x:v>
      </x:c>
      <x:c r="U102" t="s">
        <x:v>407</x:v>
      </x:c>
      <x:c r="W102" t="str">
        <x:v>40-inch</x:v>
      </x:c>
    </x:row>
    <x:row r="103">
      <x:c r="A103" t="s">
        <x:v>31</x:v>
      </x:c>
      <x:c r="B103" t="s">
        <x:v>70</x:v>
      </x:c>
      <x:c r="C103" t="s">
        <x:v>227</x:v>
      </x:c>
      <x:c r="D103" t="s">
        <x:v>71</x:v>
      </x:c>
      <x:c r="E103" t="s">
        <x:v>73</x:v>
      </x:c>
      <x:c r="F103" t="s">
        <x:v>194</x:v>
      </x:c>
      <x:c r="G103" t="s">
        <x:v>414</x:v>
      </x:c>
      <x:c r="H103" t="s">
        <x:v>274</x:v>
      </x:c>
      <x:c r="I103">
        <x:v>252.7</x:v>
      </x:c>
      <x:c r="J103">
        <x:v>50.54</x:v>
      </x:c>
      <x:c r="K103" t="n">
        <x:f>IF(J103="","",IF(J103&lt;10,'Price Rules'!$B$5,IF(J103&lt;=50,'Price Rules'!$B$6,'Price Rules'!$B$7)))</x:f>
        <x:v>3.5</x:v>
      </x:c>
      <x:c r="L103">
        <x:f t="shared" si="1"/>
        <x:v>177</x:v>
      </x:c>
      <x:c r="M103" t="s">
        <x:v>415</x:v>
      </x:c>
      <x:c r="N103" t="s">
        <x:v>171</x:v>
      </x:c>
      <x:c r="O103" t="str">
        <x:v>Ready Stock</x:v>
      </x:c>
      <x:c r="P103">
        <x:v>121</x:v>
      </x:c>
      <x:c r="Q103" t="s">
        <x:v>198</x:v>
      </x:c>
      <x:c r="R103" t="s">
        <x:v>406</x:v>
      </x:c>
      <x:c r="S103" t="s">
        <x:v>174</x:v>
      </x:c>
      <x:c r="T103" t="s">
        <x:v>175</x:v>
      </x:c>
      <x:c r="U103" t="s">
        <x:v>407</x:v>
      </x:c>
      <x:c r="W103" t="str">
        <x:v>48-inch</x:v>
      </x:c>
    </x:row>
    <x:row r="104">
      <x:c r="A104" t="s">
        <x:v>31</x:v>
      </x:c>
      <x:c r="B104" t="s">
        <x:v>74</x:v>
      </x:c>
      <x:c r="C104" t="s">
        <x:v>207</x:v>
      </x:c>
      <x:c r="D104" t="s">
        <x:v>75</x:v>
      </x:c>
      <x:c r="E104" t="s">
        <x:v>77</x:v>
      </x:c>
      <x:c r="F104" t="s">
        <x:v>194</x:v>
      </x:c>
      <x:c r="G104" t="s">
        <x:v>416</x:v>
      </x:c>
      <x:c r="H104" t="s">
        <x:v>274</x:v>
      </x:c>
      <x:c r="I104">
        <x:v>95.48</x:v>
      </x:c>
      <x:c r="J104">
        <x:v>19.1</x:v>
      </x:c>
      <x:c r="K104" t="n">
        <x:f>IF(J104="","",IF(J104&lt;10,'Price Rules'!$B$5,IF(J104&lt;=50,'Price Rules'!$B$6,'Price Rules'!$B$7)))</x:f>
        <x:v>4</x:v>
      </x:c>
      <x:c r="L104">
        <x:f t="shared" si="1"/>
        <x:v>76</x:v>
      </x:c>
      <x:c r="M104" t="s">
        <x:v>76</x:v>
      </x:c>
      <x:c r="N104" t="s">
        <x:v>171</x:v>
      </x:c>
      <x:c r="O104" t="str">
        <x:v>Ready Stock</x:v>
      </x:c>
      <x:c r="P104">
        <x:v>124</x:v>
      </x:c>
      <x:c r="Q104" t="s">
        <x:v>198</x:v>
      </x:c>
      <x:c r="R104" t="s">
        <x:v>417</x:v>
      </x:c>
      <x:c r="S104" t="s">
        <x:v>174</x:v>
      </x:c>
      <x:c r="T104" t="s">
        <x:v>175</x:v>
      </x:c>
      <x:c r="U104" t="s">
        <x:v>407</x:v>
      </x:c>
      <x:c r="W104" t="str">
        <x:v>24-small</x:v>
      </x:c>
    </x:row>
    <x:row r="105">
      <x:c r="A105" t="s">
        <x:v>31</x:v>
      </x:c>
      <x:c r="B105" t="s">
        <x:v>74</x:v>
      </x:c>
      <x:c r="C105" t="s">
        <x:v>211</x:v>
      </x:c>
      <x:c r="D105" t="s">
        <x:v>75</x:v>
      </x:c>
      <x:c r="E105" t="s">
        <x:v>77</x:v>
      </x:c>
      <x:c r="F105" t="s">
        <x:v>194</x:v>
      </x:c>
      <x:c r="G105" t="s">
        <x:v>418</x:v>
      </x:c>
      <x:c r="H105" t="s">
        <x:v>274</x:v>
      </x:c>
      <x:c r="I105">
        <x:v>185.05</x:v>
      </x:c>
      <x:c r="J105">
        <x:v>37.01</x:v>
      </x:c>
      <x:c r="K105" t="n">
        <x:f>IF(J105="","",IF(J105&lt;10,'Price Rules'!$B$5,IF(J105&lt;=50,'Price Rules'!$B$6,'Price Rules'!$B$7)))</x:f>
        <x:v>4</x:v>
      </x:c>
      <x:c r="L105">
        <x:f t="shared" si="1"/>
        <x:v>148</x:v>
      </x:c>
      <x:c r="M105" t="s">
        <x:v>419</x:v>
      </x:c>
      <x:c r="N105" t="s">
        <x:v>171</x:v>
      </x:c>
      <x:c r="O105" t="str">
        <x:v>Ready Stock</x:v>
      </x:c>
      <x:c r="P105">
        <x:v>125</x:v>
      </x:c>
      <x:c r="Q105" t="s">
        <x:v>198</x:v>
      </x:c>
      <x:c r="R105" t="s">
        <x:v>417</x:v>
      </x:c>
      <x:c r="S105" t="s">
        <x:v>174</x:v>
      </x:c>
      <x:c r="T105" t="s">
        <x:v>175</x:v>
      </x:c>
      <x:c r="U105" t="s">
        <x:v>407</x:v>
      </x:c>
      <x:c r="W105" t="str">
        <x:v>30-inch</x:v>
      </x:c>
    </x:row>
    <x:row r="106">
      <x:c r="A106" t="s">
        <x:v>31</x:v>
      </x:c>
      <x:c r="B106" t="s">
        <x:v>74</x:v>
      </x:c>
      <x:c r="C106" t="s">
        <x:v>219</x:v>
      </x:c>
      <x:c r="D106" t="s">
        <x:v>75</x:v>
      </x:c>
      <x:c r="E106" t="s">
        <x:v>77</x:v>
      </x:c>
      <x:c r="F106" t="s">
        <x:v>194</x:v>
      </x:c>
      <x:c r="G106" t="s">
        <x:v>420</x:v>
      </x:c>
      <x:c r="H106" t="s">
        <x:v>274</x:v>
      </x:c>
      <x:c r="I106">
        <x:v>184.1</x:v>
      </x:c>
      <x:c r="J106">
        <x:v>36.82</x:v>
      </x:c>
      <x:c r="K106" t="n">
        <x:f>IF(J106="","",IF(J106&lt;10,'Price Rules'!$B$5,IF(J106&lt;=50,'Price Rules'!$B$6,'Price Rules'!$B$7)))</x:f>
        <x:v>4</x:v>
      </x:c>
      <x:c r="L106">
        <x:f t="shared" si="1"/>
        <x:v>147</x:v>
      </x:c>
      <x:c r="M106" t="s">
        <x:v>421</x:v>
      </x:c>
      <x:c r="N106" t="s">
        <x:v>171</x:v>
      </x:c>
      <x:c r="O106" t="str">
        <x:v>Ready Stock</x:v>
      </x:c>
      <x:c r="P106">
        <x:v>126</x:v>
      </x:c>
      <x:c r="Q106" t="s">
        <x:v>198</x:v>
      </x:c>
      <x:c r="R106" t="s">
        <x:v>417</x:v>
      </x:c>
      <x:c r="S106" t="s">
        <x:v>174</x:v>
      </x:c>
      <x:c r="T106" t="s">
        <x:v>175</x:v>
      </x:c>
      <x:c r="U106" t="s">
        <x:v>407</x:v>
      </x:c>
      <x:c r="W106" t="str">
        <x:v>36-inch</x:v>
      </x:c>
    </x:row>
    <x:row r="107">
      <x:c r="A107" t="s">
        <x:v>31</x:v>
      </x:c>
      <x:c r="B107" t="s">
        <x:v>74</x:v>
      </x:c>
      <x:c r="C107" t="s">
        <x:v>223</x:v>
      </x:c>
      <x:c r="D107" t="s">
        <x:v>75</x:v>
      </x:c>
      <x:c r="E107" t="s">
        <x:v>77</x:v>
      </x:c>
      <x:c r="F107" t="s">
        <x:v>194</x:v>
      </x:c>
      <x:c r="G107" t="s">
        <x:v>422</x:v>
      </x:c>
      <x:c r="H107" t="s">
        <x:v>274</x:v>
      </x:c>
      <x:c r="I107">
        <x:v>266.75</x:v>
      </x:c>
      <x:c r="J107">
        <x:v>53.35</x:v>
      </x:c>
      <x:c r="K107" t="n">
        <x:f>IF(J107="","",IF(J107&lt;10,'Price Rules'!$B$5,IF(J107&lt;=50,'Price Rules'!$B$6,'Price Rules'!$B$7)))</x:f>
        <x:v>3.5</x:v>
      </x:c>
      <x:c r="L107">
        <x:f t="shared" si="1"/>
        <x:v>187</x:v>
      </x:c>
      <x:c r="M107" t="s">
        <x:v>423</x:v>
      </x:c>
      <x:c r="N107" t="s">
        <x:v>171</x:v>
      </x:c>
      <x:c r="O107" t="str">
        <x:v>Ready Stock</x:v>
      </x:c>
      <x:c r="P107">
        <x:v>127</x:v>
      </x:c>
      <x:c r="Q107" t="s">
        <x:v>198</x:v>
      </x:c>
      <x:c r="R107" t="s">
        <x:v>417</x:v>
      </x:c>
      <x:c r="S107" t="s">
        <x:v>174</x:v>
      </x:c>
      <x:c r="T107" t="s">
        <x:v>175</x:v>
      </x:c>
      <x:c r="U107" t="s">
        <x:v>407</x:v>
      </x:c>
      <x:c r="W107" t="str">
        <x:v>40-inch</x:v>
      </x:c>
    </x:row>
    <x:row r="108">
      <x:c r="A108" t="s">
        <x:v>31</x:v>
      </x:c>
      <x:c r="B108" t="s">
        <x:v>74</x:v>
      </x:c>
      <x:c r="C108" t="s">
        <x:v>227</x:v>
      </x:c>
      <x:c r="D108" t="s">
        <x:v>75</x:v>
      </x:c>
      <x:c r="E108" t="s">
        <x:v>77</x:v>
      </x:c>
      <x:c r="F108" t="s">
        <x:v>194</x:v>
      </x:c>
      <x:c r="G108" t="s">
        <x:v>424</x:v>
      </x:c>
      <x:c r="H108" t="s">
        <x:v>274</x:v>
      </x:c>
      <x:c r="I108">
        <x:v>304.75</x:v>
      </x:c>
      <x:c r="J108">
        <x:v>60.95</x:v>
      </x:c>
      <x:c r="K108" t="n">
        <x:f>IF(J108="","",IF(J108&lt;10,'Price Rules'!$B$5,IF(J108&lt;=50,'Price Rules'!$B$6,'Price Rules'!$B$7)))</x:f>
        <x:v>3.5</x:v>
      </x:c>
      <x:c r="L108">
        <x:f t="shared" si="1"/>
        <x:v>213</x:v>
      </x:c>
      <x:c r="M108" t="s">
        <x:v>425</x:v>
      </x:c>
      <x:c r="N108" t="s">
        <x:v>171</x:v>
      </x:c>
      <x:c r="O108" t="str">
        <x:v>Ready Stock</x:v>
      </x:c>
      <x:c r="P108">
        <x:v>128</x:v>
      </x:c>
      <x:c r="Q108" t="s">
        <x:v>198</x:v>
      </x:c>
      <x:c r="R108" t="s">
        <x:v>417</x:v>
      </x:c>
      <x:c r="S108" t="s">
        <x:v>174</x:v>
      </x:c>
      <x:c r="T108" t="s">
        <x:v>175</x:v>
      </x:c>
      <x:c r="U108" t="s">
        <x:v>407</x:v>
      </x:c>
      <x:c r="W108" t="str">
        <x:v>48-inch</x:v>
      </x:c>
    </x:row>
    <x:row r="109">
      <x:c r="A109" t="s">
        <x:v>31</x:v>
      </x:c>
      <x:c r="B109" t="s">
        <x:v>78</x:v>
      </x:c>
      <x:c r="C109" t="s">
        <x:v>207</x:v>
      </x:c>
      <x:c r="D109" t="s">
        <x:v>79</x:v>
      </x:c>
      <x:c r="E109" t="s">
        <x:v>81</x:v>
      </x:c>
      <x:c r="F109" t="s">
        <x:v>194</x:v>
      </x:c>
      <x:c r="G109" t="s">
        <x:v>426</x:v>
      </x:c>
      <x:c r="H109" t="s">
        <x:v>274</x:v>
      </x:c>
      <x:c r="I109">
        <x:v>97.65</x:v>
      </x:c>
      <x:c r="J109">
        <x:v>19.53</x:v>
      </x:c>
      <x:c r="K109" t="n">
        <x:f>IF(J109="","",IF(J109&lt;10,'Price Rules'!$B$5,IF(J109&lt;=50,'Price Rules'!$B$6,'Price Rules'!$B$7)))</x:f>
        <x:v>4</x:v>
      </x:c>
      <x:c r="L109">
        <x:f t="shared" si="1"/>
        <x:v>78</x:v>
      </x:c>
      <x:c r="M109" t="s">
        <x:v>80</x:v>
      </x:c>
      <x:c r="N109" t="s">
        <x:v>171</x:v>
      </x:c>
      <x:c r="O109" t="str">
        <x:v>Ready Stock</x:v>
      </x:c>
      <x:c r="P109">
        <x:v>131</x:v>
      </x:c>
      <x:c r="Q109" t="s">
        <x:v>198</x:v>
      </x:c>
      <x:c r="R109" t="s">
        <x:v>427</x:v>
      </x:c>
      <x:c r="S109" t="s">
        <x:v>174</x:v>
      </x:c>
      <x:c r="T109" t="s">
        <x:v>175</x:v>
      </x:c>
      <x:c r="U109" t="s">
        <x:v>407</x:v>
      </x:c>
      <x:c r="W109" t="str">
        <x:v>24-small</x:v>
      </x:c>
    </x:row>
    <x:row r="110">
      <x:c r="A110" t="s">
        <x:v>31</x:v>
      </x:c>
      <x:c r="B110" t="s">
        <x:v>78</x:v>
      </x:c>
      <x:c r="C110" t="s">
        <x:v>211</x:v>
      </x:c>
      <x:c r="D110" t="s">
        <x:v>79</x:v>
      </x:c>
      <x:c r="E110" t="s">
        <x:v>81</x:v>
      </x:c>
      <x:c r="F110" t="s">
        <x:v>194</x:v>
      </x:c>
      <x:c r="G110" t="s">
        <x:v>428</x:v>
      </x:c>
      <x:c r="H110" t="s">
        <x:v>274</x:v>
      </x:c>
      <x:c r="I110">
        <x:v>162.36</x:v>
      </x:c>
      <x:c r="J110">
        <x:v>32.47</x:v>
      </x:c>
      <x:c r="K110" t="n">
        <x:f>IF(J110="","",IF(J110&lt;10,'Price Rules'!$B$5,IF(J110&lt;=50,'Price Rules'!$B$6,'Price Rules'!$B$7)))</x:f>
        <x:v>4</x:v>
      </x:c>
      <x:c r="L110">
        <x:f t="shared" si="1"/>
        <x:v>130</x:v>
      </x:c>
      <x:c r="M110" t="s">
        <x:v>429</x:v>
      </x:c>
      <x:c r="N110" t="s">
        <x:v>171</x:v>
      </x:c>
      <x:c r="O110" t="str">
        <x:v>Ready Stock</x:v>
      </x:c>
      <x:c r="P110">
        <x:v>132</x:v>
      </x:c>
      <x:c r="Q110" t="s">
        <x:v>198</x:v>
      </x:c>
      <x:c r="R110" t="s">
        <x:v>427</x:v>
      </x:c>
      <x:c r="S110" t="s">
        <x:v>174</x:v>
      </x:c>
      <x:c r="T110" t="s">
        <x:v>175</x:v>
      </x:c>
      <x:c r="U110" t="s">
        <x:v>407</x:v>
      </x:c>
      <x:c r="W110" t="str">
        <x:v>30-inch</x:v>
      </x:c>
    </x:row>
    <x:row r="111">
      <x:c r="A111" t="s">
        <x:v>31</x:v>
      </x:c>
      <x:c r="B111" t="s">
        <x:v>78</x:v>
      </x:c>
      <x:c r="C111" t="s">
        <x:v>219</x:v>
      </x:c>
      <x:c r="D111" t="s">
        <x:v>79</x:v>
      </x:c>
      <x:c r="E111" t="s">
        <x:v>81</x:v>
      </x:c>
      <x:c r="F111" t="s">
        <x:v>194</x:v>
      </x:c>
      <x:c r="G111" t="s">
        <x:v>430</x:v>
      </x:c>
      <x:c r="H111" t="s">
        <x:v>274</x:v>
      </x:c>
      <x:c r="I111">
        <x:v>187.9</x:v>
      </x:c>
      <x:c r="J111">
        <x:v>37.58</x:v>
      </x:c>
      <x:c r="K111" t="n">
        <x:f>IF(J111="","",IF(J111&lt;10,'Price Rules'!$B$5,IF(J111&lt;=50,'Price Rules'!$B$6,'Price Rules'!$B$7)))</x:f>
        <x:v>4</x:v>
      </x:c>
      <x:c r="L111">
        <x:f t="shared" si="1"/>
        <x:v>150</x:v>
      </x:c>
      <x:c r="M111" t="s">
        <x:v>431</x:v>
      </x:c>
      <x:c r="N111" t="s">
        <x:v>171</x:v>
      </x:c>
      <x:c r="O111" t="str">
        <x:v>Ready Stock</x:v>
      </x:c>
      <x:c r="P111">
        <x:v>133</x:v>
      </x:c>
      <x:c r="Q111" t="s">
        <x:v>198</x:v>
      </x:c>
      <x:c r="R111" t="s">
        <x:v>427</x:v>
      </x:c>
      <x:c r="S111" t="s">
        <x:v>174</x:v>
      </x:c>
      <x:c r="T111" t="s">
        <x:v>175</x:v>
      </x:c>
      <x:c r="U111" t="s">
        <x:v>407</x:v>
      </x:c>
      <x:c r="W111" t="str">
        <x:v>36-inch</x:v>
      </x:c>
    </x:row>
    <x:row r="112">
      <x:c r="A112" t="s">
        <x:v>31</x:v>
      </x:c>
      <x:c r="B112" t="s">
        <x:v>78</x:v>
      </x:c>
      <x:c r="C112" t="s">
        <x:v>223</x:v>
      </x:c>
      <x:c r="D112" t="s">
        <x:v>79</x:v>
      </x:c>
      <x:c r="E112" t="s">
        <x:v>81</x:v>
      </x:c>
      <x:c r="F112" t="s">
        <x:v>194</x:v>
      </x:c>
      <x:c r="G112" t="s">
        <x:v>432</x:v>
      </x:c>
      <x:c r="H112" t="s">
        <x:v>274</x:v>
      </x:c>
      <x:c r="I112">
        <x:v>277.75</x:v>
      </x:c>
      <x:c r="J112">
        <x:v>55.55</x:v>
      </x:c>
      <x:c r="K112" t="n">
        <x:f>IF(J112="","",IF(J112&lt;10,'Price Rules'!$B$5,IF(J112&lt;=50,'Price Rules'!$B$6,'Price Rules'!$B$7)))</x:f>
        <x:v>3.5</x:v>
      </x:c>
      <x:c r="L112">
        <x:f t="shared" si="1"/>
        <x:v>194</x:v>
      </x:c>
      <x:c r="M112" t="s">
        <x:v>433</x:v>
      </x:c>
      <x:c r="N112" t="s">
        <x:v>171</x:v>
      </x:c>
      <x:c r="O112" t="str">
        <x:v>Ready Stock</x:v>
      </x:c>
      <x:c r="P112">
        <x:v>134</x:v>
      </x:c>
      <x:c r="Q112" t="s">
        <x:v>198</x:v>
      </x:c>
      <x:c r="R112" t="s">
        <x:v>427</x:v>
      </x:c>
      <x:c r="S112" t="s">
        <x:v>174</x:v>
      </x:c>
      <x:c r="T112" t="s">
        <x:v>175</x:v>
      </x:c>
      <x:c r="U112" t="s">
        <x:v>407</x:v>
      </x:c>
      <x:c r="W112" t="str">
        <x:v>40-inch</x:v>
      </x:c>
    </x:row>
    <x:row r="113">
      <x:c r="A113" t="s">
        <x:v>31</x:v>
      </x:c>
      <x:c r="B113" t="s">
        <x:v>78</x:v>
      </x:c>
      <x:c r="C113" t="s">
        <x:v>227</x:v>
      </x:c>
      <x:c r="D113" t="s">
        <x:v>79</x:v>
      </x:c>
      <x:c r="E113" t="s">
        <x:v>81</x:v>
      </x:c>
      <x:c r="F113" t="s">
        <x:v>194</x:v>
      </x:c>
      <x:c r="G113" t="s">
        <x:v>434</x:v>
      </x:c>
      <x:c r="H113" t="s">
        <x:v>274</x:v>
      </x:c>
      <x:c r="I113">
        <x:v>304.75</x:v>
      </x:c>
      <x:c r="J113">
        <x:v>60.95</x:v>
      </x:c>
      <x:c r="K113" t="n">
        <x:f>IF(J113="","",IF(J113&lt;10,'Price Rules'!$B$5,IF(J113&lt;=50,'Price Rules'!$B$6,'Price Rules'!$B$7)))</x:f>
        <x:v>3.5</x:v>
      </x:c>
      <x:c r="L113">
        <x:f t="shared" si="1"/>
        <x:v>213</x:v>
      </x:c>
      <x:c r="M113" t="s">
        <x:v>435</x:v>
      </x:c>
      <x:c r="N113" t="s">
        <x:v>171</x:v>
      </x:c>
      <x:c r="O113" t="str">
        <x:v>Ready Stock</x:v>
      </x:c>
      <x:c r="P113">
        <x:v>135</x:v>
      </x:c>
      <x:c r="Q113" t="s">
        <x:v>198</x:v>
      </x:c>
      <x:c r="R113" t="s">
        <x:v>427</x:v>
      </x:c>
      <x:c r="S113" t="s">
        <x:v>174</x:v>
      </x:c>
      <x:c r="T113" t="s">
        <x:v>175</x:v>
      </x:c>
      <x:c r="U113" t="s">
        <x:v>407</x:v>
      </x:c>
      <x:c r="W113" t="str">
        <x:v>48-inch</x:v>
      </x:c>
    </x:row>
    <x:row r="114">
      <x:c r="A114" t="s">
        <x:v>31</x:v>
      </x:c>
      <x:c r="B114" t="s">
        <x:v>82</x:v>
      </x:c>
      <x:c r="C114" t="s">
        <x:v>207</x:v>
      </x:c>
      <x:c r="D114" t="s">
        <x:v>83</x:v>
      </x:c>
      <x:c r="E114" t="s">
        <x:v>85</x:v>
      </x:c>
      <x:c r="F114" t="s">
        <x:v>194</x:v>
      </x:c>
      <x:c r="G114" t="s">
        <x:v>436</x:v>
      </x:c>
      <x:c r="H114" t="s">
        <x:v>274</x:v>
      </x:c>
      <x:c r="I114">
        <x:v>109.05</x:v>
      </x:c>
      <x:c r="J114">
        <x:v>21.81</x:v>
      </x:c>
      <x:c r="K114" t="n">
        <x:f>IF(J114="","",IF(J114&lt;10,'Price Rules'!$B$5,IF(J114&lt;=50,'Price Rules'!$B$6,'Price Rules'!$B$7)))</x:f>
        <x:v>4</x:v>
      </x:c>
      <x:c r="L114">
        <x:f t="shared" si="1"/>
        <x:v>87</x:v>
      </x:c>
      <x:c r="M114" t="s">
        <x:v>84</x:v>
      </x:c>
      <x:c r="N114" t="s">
        <x:v>171</x:v>
      </x:c>
      <x:c r="O114" t="str">
        <x:v>Ready Stock</x:v>
      </x:c>
      <x:c r="P114">
        <x:v>138</x:v>
      </x:c>
      <x:c r="Q114" t="s">
        <x:v>198</x:v>
      </x:c>
      <x:c r="R114" t="s">
        <x:v>406</x:v>
      </x:c>
      <x:c r="S114" t="s">
        <x:v>174</x:v>
      </x:c>
      <x:c r="T114" t="s">
        <x:v>175</x:v>
      </x:c>
      <x:c r="U114" t="s">
        <x:v>407</x:v>
      </x:c>
      <x:c r="W114" t="str">
        <x:v>24-small</x:v>
      </x:c>
    </x:row>
    <x:row r="115">
      <x:c r="A115" t="s">
        <x:v>31</x:v>
      </x:c>
      <x:c r="B115" t="s">
        <x:v>82</x:v>
      </x:c>
      <x:c r="C115" t="s">
        <x:v>219</x:v>
      </x:c>
      <x:c r="D115" t="s">
        <x:v>83</x:v>
      </x:c>
      <x:c r="E115" t="s">
        <x:v>85</x:v>
      </x:c>
      <x:c r="F115" t="s">
        <x:v>194</x:v>
      </x:c>
      <x:c r="G115" t="s">
        <x:v>437</x:v>
      </x:c>
      <x:c r="H115" t="s">
        <x:v>274</x:v>
      </x:c>
      <x:c r="I115">
        <x:v>175.1</x:v>
      </x:c>
      <x:c r="J115">
        <x:v>35.02</x:v>
      </x:c>
      <x:c r="K115" t="n">
        <x:f>IF(J115="","",IF(J115&lt;10,'Price Rules'!$B$5,IF(J115&lt;=50,'Price Rules'!$B$6,'Price Rules'!$B$7)))</x:f>
        <x:v>4</x:v>
      </x:c>
      <x:c r="L115">
        <x:f t="shared" si="1"/>
        <x:v>140</x:v>
      </x:c>
      <x:c r="M115" t="s">
        <x:v>438</x:v>
      </x:c>
      <x:c r="N115" t="s">
        <x:v>171</x:v>
      </x:c>
      <x:c r="O115" t="str">
        <x:v>Ready Stock</x:v>
      </x:c>
      <x:c r="P115">
        <x:v>140</x:v>
      </x:c>
      <x:c r="Q115" t="s">
        <x:v>198</x:v>
      </x:c>
      <x:c r="R115" t="s">
        <x:v>406</x:v>
      </x:c>
      <x:c r="S115" t="s">
        <x:v>174</x:v>
      </x:c>
      <x:c r="T115" t="s">
        <x:v>175</x:v>
      </x:c>
      <x:c r="U115" t="s">
        <x:v>407</x:v>
      </x:c>
      <x:c r="W115" t="str">
        <x:v>36-inch</x:v>
      </x:c>
    </x:row>
    <x:row r="116">
      <x:c r="A116" t="s">
        <x:v>31</x:v>
      </x:c>
      <x:c r="B116" t="s">
        <x:v>82</x:v>
      </x:c>
      <x:c r="C116" t="s">
        <x:v>223</x:v>
      </x:c>
      <x:c r="D116" t="s">
        <x:v>83</x:v>
      </x:c>
      <x:c r="E116" t="s">
        <x:v>85</x:v>
      </x:c>
      <x:c r="F116" t="s">
        <x:v>194</x:v>
      </x:c>
      <x:c r="G116" t="s">
        <x:v>439</x:v>
      </x:c>
      <x:c r="H116" t="s">
        <x:v>274</x:v>
      </x:c>
      <x:c r="I116">
        <x:v>226.3</x:v>
      </x:c>
      <x:c r="J116">
        <x:v>45.26</x:v>
      </x:c>
      <x:c r="K116" t="n">
        <x:f>IF(J116="","",IF(J116&lt;10,'Price Rules'!$B$5,IF(J116&lt;=50,'Price Rules'!$B$6,'Price Rules'!$B$7)))</x:f>
        <x:v>4</x:v>
      </x:c>
      <x:c r="L116">
        <x:f t="shared" si="1"/>
        <x:v>181</x:v>
      </x:c>
      <x:c r="M116" t="s">
        <x:v>440</x:v>
      </x:c>
      <x:c r="N116" t="s">
        <x:v>171</x:v>
      </x:c>
      <x:c r="O116" t="str">
        <x:v>Ready Stock</x:v>
      </x:c>
      <x:c r="P116">
        <x:v>141</x:v>
      </x:c>
      <x:c r="Q116" t="s">
        <x:v>198</x:v>
      </x:c>
      <x:c r="R116" t="s">
        <x:v>406</x:v>
      </x:c>
      <x:c r="S116" t="s">
        <x:v>174</x:v>
      </x:c>
      <x:c r="T116" t="s">
        <x:v>175</x:v>
      </x:c>
      <x:c r="U116" t="s">
        <x:v>407</x:v>
      </x:c>
      <x:c r="W116" t="str">
        <x:v>40-inch</x:v>
      </x:c>
    </x:row>
    <x:row r="117">
      <x:c r="A117" t="s">
        <x:v>31</x:v>
      </x:c>
      <x:c r="B117" t="s">
        <x:v>82</x:v>
      </x:c>
      <x:c r="C117" t="s">
        <x:v>227</x:v>
      </x:c>
      <x:c r="D117" t="s">
        <x:v>83</x:v>
      </x:c>
      <x:c r="E117" t="s">
        <x:v>85</x:v>
      </x:c>
      <x:c r="F117" t="s">
        <x:v>194</x:v>
      </x:c>
      <x:c r="G117" t="s">
        <x:v>441</x:v>
      </x:c>
      <x:c r="H117" t="s">
        <x:v>274</x:v>
      </x:c>
      <x:c r="I117">
        <x:v>287.75</x:v>
      </x:c>
      <x:c r="J117">
        <x:v>57.55</x:v>
      </x:c>
      <x:c r="K117" t="n">
        <x:f>IF(J117="","",IF(J117&lt;10,'Price Rules'!$B$5,IF(J117&lt;=50,'Price Rules'!$B$6,'Price Rules'!$B$7)))</x:f>
        <x:v>3.5</x:v>
      </x:c>
      <x:c r="L117">
        <x:f t="shared" si="1"/>
        <x:v>201</x:v>
      </x:c>
      <x:c r="M117" t="s">
        <x:v>442</x:v>
      </x:c>
      <x:c r="N117" t="s">
        <x:v>171</x:v>
      </x:c>
      <x:c r="O117" t="str">
        <x:v>Ready Stock</x:v>
      </x:c>
      <x:c r="P117">
        <x:v>142</x:v>
      </x:c>
      <x:c r="Q117" t="s">
        <x:v>198</x:v>
      </x:c>
      <x:c r="R117" t="s">
        <x:v>406</x:v>
      </x:c>
      <x:c r="S117" t="s">
        <x:v>174</x:v>
      </x:c>
      <x:c r="T117" t="s">
        <x:v>175</x:v>
      </x:c>
      <x:c r="U117" t="s">
        <x:v>407</x:v>
      </x:c>
      <x:c r="W117" t="str">
        <x:v>48-inch</x:v>
      </x:c>
    </x:row>
    <x:row r="118">
      <x:c r="A118" t="s">
        <x:v>31</x:v>
      </x:c>
      <x:c r="B118" t="s">
        <x:v>86</x:v>
      </x:c>
      <x:c r="C118" t="s">
        <x:v>207</x:v>
      </x:c>
      <x:c r="D118" t="s">
        <x:v>87</x:v>
      </x:c>
      <x:c r="E118" t="s">
        <x:v>89</x:v>
      </x:c>
      <x:c r="F118" t="s">
        <x:v>194</x:v>
      </x:c>
      <x:c r="G118" t="s">
        <x:v>443</x:v>
      </x:c>
      <x:c r="H118" t="s">
        <x:v>274</x:v>
      </x:c>
      <x:c r="I118">
        <x:v>97.65</x:v>
      </x:c>
      <x:c r="J118">
        <x:v>19.53</x:v>
      </x:c>
      <x:c r="K118" t="n">
        <x:f>IF(J118="","",IF(J118&lt;10,'Price Rules'!$B$5,IF(J118&lt;=50,'Price Rules'!$B$6,'Price Rules'!$B$7)))</x:f>
        <x:v>4</x:v>
      </x:c>
      <x:c r="L118">
        <x:f t="shared" si="1"/>
        <x:v>78</x:v>
      </x:c>
      <x:c r="M118" t="s">
        <x:v>88</x:v>
      </x:c>
      <x:c r="N118" t="s">
        <x:v>171</x:v>
      </x:c>
      <x:c r="O118" t="str">
        <x:v>Ready Stock</x:v>
      </x:c>
      <x:c r="P118">
        <x:v>145</x:v>
      </x:c>
      <x:c r="Q118" t="s">
        <x:v>198</x:v>
      </x:c>
      <x:c r="R118" t="s">
        <x:v>427</x:v>
      </x:c>
      <x:c r="S118" t="s">
        <x:v>174</x:v>
      </x:c>
      <x:c r="T118" t="s">
        <x:v>175</x:v>
      </x:c>
      <x:c r="U118" t="s">
        <x:v>407</x:v>
      </x:c>
      <x:c r="W118" t="str">
        <x:v>24-small</x:v>
      </x:c>
    </x:row>
    <x:row r="119">
      <x:c r="A119" t="s">
        <x:v>31</x:v>
      </x:c>
      <x:c r="B119" t="s">
        <x:v>86</x:v>
      </x:c>
      <x:c r="C119" t="s">
        <x:v>211</x:v>
      </x:c>
      <x:c r="D119" t="s">
        <x:v>87</x:v>
      </x:c>
      <x:c r="E119" t="s">
        <x:v>89</x:v>
      </x:c>
      <x:c r="F119" t="s">
        <x:v>194</x:v>
      </x:c>
      <x:c r="G119" t="s">
        <x:v>444</x:v>
      </x:c>
      <x:c r="H119" t="s">
        <x:v>274</x:v>
      </x:c>
      <x:c r="I119">
        <x:v>159.05</x:v>
      </x:c>
      <x:c r="J119">
        <x:v>31.81</x:v>
      </x:c>
      <x:c r="K119" t="n">
        <x:f>IF(J119="","",IF(J119&lt;10,'Price Rules'!$B$5,IF(J119&lt;=50,'Price Rules'!$B$6,'Price Rules'!$B$7)))</x:f>
        <x:v>4</x:v>
      </x:c>
      <x:c r="L119">
        <x:f t="shared" si="1"/>
        <x:v>127</x:v>
      </x:c>
      <x:c r="M119" t="s">
        <x:v>445</x:v>
      </x:c>
      <x:c r="N119" t="s">
        <x:v>171</x:v>
      </x:c>
      <x:c r="O119" t="str">
        <x:v>Ready Stock</x:v>
      </x:c>
      <x:c r="P119">
        <x:v>146</x:v>
      </x:c>
      <x:c r="Q119" t="s">
        <x:v>198</x:v>
      </x:c>
      <x:c r="R119" t="s">
        <x:v>427</x:v>
      </x:c>
      <x:c r="S119" t="s">
        <x:v>174</x:v>
      </x:c>
      <x:c r="T119" t="s">
        <x:v>175</x:v>
      </x:c>
      <x:c r="U119" t="s">
        <x:v>407</x:v>
      </x:c>
      <x:c r="W119" t="str">
        <x:v>30-inch</x:v>
      </x:c>
    </x:row>
    <x:row r="120">
      <x:c r="A120" t="s">
        <x:v>31</x:v>
      </x:c>
      <x:c r="B120" t="s">
        <x:v>86</x:v>
      </x:c>
      <x:c r="C120" t="s">
        <x:v>219</x:v>
      </x:c>
      <x:c r="D120" t="s">
        <x:v>87</x:v>
      </x:c>
      <x:c r="E120" t="s">
        <x:v>89</x:v>
      </x:c>
      <x:c r="F120" t="s">
        <x:v>194</x:v>
      </x:c>
      <x:c r="G120" t="s">
        <x:v>446</x:v>
      </x:c>
      <x:c r="H120" t="s">
        <x:v>274</x:v>
      </x:c>
      <x:c r="I120">
        <x:v>178.9</x:v>
      </x:c>
      <x:c r="J120">
        <x:v>35.78</x:v>
      </x:c>
      <x:c r="K120" t="n">
        <x:f>IF(J120="","",IF(J120&lt;10,'Price Rules'!$B$5,IF(J120&lt;=50,'Price Rules'!$B$6,'Price Rules'!$B$7)))</x:f>
        <x:v>4</x:v>
      </x:c>
      <x:c r="L120">
        <x:f t="shared" si="1"/>
        <x:v>143</x:v>
      </x:c>
      <x:c r="M120" t="s">
        <x:v>447</x:v>
      </x:c>
      <x:c r="N120" t="s">
        <x:v>171</x:v>
      </x:c>
      <x:c r="O120" t="str">
        <x:v>Ready Stock</x:v>
      </x:c>
      <x:c r="P120">
        <x:v>147</x:v>
      </x:c>
      <x:c r="Q120" t="s">
        <x:v>198</x:v>
      </x:c>
      <x:c r="R120" t="s">
        <x:v>427</x:v>
      </x:c>
      <x:c r="S120" t="s">
        <x:v>174</x:v>
      </x:c>
      <x:c r="T120" t="s">
        <x:v>175</x:v>
      </x:c>
      <x:c r="U120" t="s">
        <x:v>407</x:v>
      </x:c>
      <x:c r="W120" t="str">
        <x:v>36-inch</x:v>
      </x:c>
    </x:row>
    <x:row r="121">
      <x:c r="A121" t="s">
        <x:v>31</x:v>
      </x:c>
      <x:c r="B121" t="s">
        <x:v>86</x:v>
      </x:c>
      <x:c r="C121" t="s">
        <x:v>223</x:v>
      </x:c>
      <x:c r="D121" t="s">
        <x:v>87</x:v>
      </x:c>
      <x:c r="E121" t="s">
        <x:v>89</x:v>
      </x:c>
      <x:c r="F121" t="s">
        <x:v>194</x:v>
      </x:c>
      <x:c r="G121" t="s">
        <x:v>448</x:v>
      </x:c>
      <x:c r="H121" t="s">
        <x:v>274</x:v>
      </x:c>
      <x:c r="I121">
        <x:v>226.2</x:v>
      </x:c>
      <x:c r="J121">
        <x:v>45.24</x:v>
      </x:c>
      <x:c r="K121" t="n">
        <x:f>IF(J121="","",IF(J121&lt;10,'Price Rules'!$B$5,IF(J121&lt;=50,'Price Rules'!$B$6,'Price Rules'!$B$7)))</x:f>
        <x:v>4</x:v>
      </x:c>
      <x:c r="L121">
        <x:f t="shared" si="1"/>
        <x:v>181</x:v>
      </x:c>
      <x:c r="M121" t="s">
        <x:v>449</x:v>
      </x:c>
      <x:c r="N121" t="s">
        <x:v>171</x:v>
      </x:c>
      <x:c r="O121" t="str">
        <x:v>Ready Stock</x:v>
      </x:c>
      <x:c r="P121">
        <x:v>148</x:v>
      </x:c>
      <x:c r="Q121" t="s">
        <x:v>198</x:v>
      </x:c>
      <x:c r="R121" t="s">
        <x:v>427</x:v>
      </x:c>
      <x:c r="S121" t="s">
        <x:v>174</x:v>
      </x:c>
      <x:c r="T121" t="s">
        <x:v>175</x:v>
      </x:c>
      <x:c r="U121" t="s">
        <x:v>407</x:v>
      </x:c>
      <x:c r="W121" t="str">
        <x:v>40-inch</x:v>
      </x:c>
    </x:row>
    <x:row r="122">
      <x:c r="A122" t="s">
        <x:v>31</x:v>
      </x:c>
      <x:c r="B122" t="s">
        <x:v>86</x:v>
      </x:c>
      <x:c r="C122" t="s">
        <x:v>227</x:v>
      </x:c>
      <x:c r="D122" t="s">
        <x:v>87</x:v>
      </x:c>
      <x:c r="E122" t="s">
        <x:v>89</x:v>
      </x:c>
      <x:c r="F122" t="s">
        <x:v>194</x:v>
      </x:c>
      <x:c r="G122" t="s">
        <x:v>450</x:v>
      </x:c>
      <x:c r="H122" t="s">
        <x:v>274</x:v>
      </x:c>
      <x:c r="I122">
        <x:v>252.7</x:v>
      </x:c>
      <x:c r="J122">
        <x:v>50.54</x:v>
      </x:c>
      <x:c r="K122" t="n">
        <x:f>IF(J122="","",IF(J122&lt;10,'Price Rules'!$B$5,IF(J122&lt;=50,'Price Rules'!$B$6,'Price Rules'!$B$7)))</x:f>
        <x:v>3.5</x:v>
      </x:c>
      <x:c r="L122">
        <x:f t="shared" si="1"/>
        <x:v>177</x:v>
      </x:c>
      <x:c r="M122" t="s">
        <x:v>451</x:v>
      </x:c>
      <x:c r="N122" t="s">
        <x:v>171</x:v>
      </x:c>
      <x:c r="O122" t="str">
        <x:v>Ready Stock</x:v>
      </x:c>
      <x:c r="P122">
        <x:v>149</x:v>
      </x:c>
      <x:c r="Q122" t="s">
        <x:v>198</x:v>
      </x:c>
      <x:c r="R122" t="s">
        <x:v>427</x:v>
      </x:c>
      <x:c r="S122" t="s">
        <x:v>174</x:v>
      </x:c>
      <x:c r="T122" t="s">
        <x:v>175</x:v>
      </x:c>
      <x:c r="U122" t="s">
        <x:v>407</x:v>
      </x:c>
      <x:c r="W122" t="str">
        <x:v>48-inch</x:v>
      </x:c>
    </x:row>
    <x:row r="123">
      <x:c r="A123" t="s">
        <x:v>31</x:v>
      </x:c>
      <x:c r="B123" t="s">
        <x:v>90</x:v>
      </x:c>
      <x:c r="C123" t="s">
        <x:v>207</x:v>
      </x:c>
      <x:c r="D123" t="s">
        <x:v>91</x:v>
      </x:c>
      <x:c r="E123" t="s">
        <x:v>93</x:v>
      </x:c>
      <x:c r="F123" t="s">
        <x:v>194</x:v>
      </x:c>
      <x:c r="G123" t="s">
        <x:v>452</x:v>
      </x:c>
      <x:c r="H123" t="s">
        <x:v>274</x:v>
      </x:c>
      <x:c r="I123">
        <x:v>95.48</x:v>
      </x:c>
      <x:c r="J123">
        <x:v>19.1</x:v>
      </x:c>
      <x:c r="K123" t="n">
        <x:f>IF(J123="","",IF(J123&lt;10,'Price Rules'!$B$5,IF(J123&lt;=50,'Price Rules'!$B$6,'Price Rules'!$B$7)))</x:f>
        <x:v>4</x:v>
      </x:c>
      <x:c r="L123">
        <x:f t="shared" si="1"/>
        <x:v>76</x:v>
      </x:c>
      <x:c r="M123" t="s">
        <x:v>92</x:v>
      </x:c>
      <x:c r="N123" t="s">
        <x:v>171</x:v>
      </x:c>
      <x:c r="O123" t="str">
        <x:v>Ready Stock</x:v>
      </x:c>
      <x:c r="P123">
        <x:v>152</x:v>
      </x:c>
      <x:c r="Q123" t="s">
        <x:v>198</x:v>
      </x:c>
      <x:c r="R123" t="s">
        <x:v>427</x:v>
      </x:c>
      <x:c r="S123" t="s">
        <x:v>174</x:v>
      </x:c>
      <x:c r="T123" t="s">
        <x:v>175</x:v>
      </x:c>
      <x:c r="U123" t="s">
        <x:v>407</x:v>
      </x:c>
      <x:c r="W123" t="str">
        <x:v>24-small</x:v>
      </x:c>
    </x:row>
    <x:row r="124">
      <x:c r="A124" t="s">
        <x:v>31</x:v>
      </x:c>
      <x:c r="B124" t="s">
        <x:v>90</x:v>
      </x:c>
      <x:c r="C124" t="s">
        <x:v>211</x:v>
      </x:c>
      <x:c r="D124" t="s">
        <x:v>91</x:v>
      </x:c>
      <x:c r="E124" t="s">
        <x:v>93</x:v>
      </x:c>
      <x:c r="F124" t="s">
        <x:v>194</x:v>
      </x:c>
      <x:c r="G124" t="s">
        <x:v>453</x:v>
      </x:c>
      <x:c r="H124" t="s">
        <x:v>274</x:v>
      </x:c>
      <x:c r="I124">
        <x:v>155.36</x:v>
      </x:c>
      <x:c r="J124">
        <x:v>31.07</x:v>
      </x:c>
      <x:c r="K124" t="n">
        <x:f>IF(J124="","",IF(J124&lt;10,'Price Rules'!$B$5,IF(J124&lt;=50,'Price Rules'!$B$6,'Price Rules'!$B$7)))</x:f>
        <x:v>4</x:v>
      </x:c>
      <x:c r="L124">
        <x:f t="shared" si="1"/>
        <x:v>124</x:v>
      </x:c>
      <x:c r="M124" t="s">
        <x:v>454</x:v>
      </x:c>
      <x:c r="N124" t="s">
        <x:v>171</x:v>
      </x:c>
      <x:c r="O124" t="str">
        <x:v>Ready Stock</x:v>
      </x:c>
      <x:c r="P124">
        <x:v>153</x:v>
      </x:c>
      <x:c r="Q124" t="s">
        <x:v>198</x:v>
      </x:c>
      <x:c r="R124" t="s">
        <x:v>427</x:v>
      </x:c>
      <x:c r="S124" t="s">
        <x:v>174</x:v>
      </x:c>
      <x:c r="T124" t="s">
        <x:v>175</x:v>
      </x:c>
      <x:c r="U124" t="s">
        <x:v>407</x:v>
      </x:c>
      <x:c r="W124" t="str">
        <x:v>30-inch</x:v>
      </x:c>
    </x:row>
    <x:row r="125">
      <x:c r="A125" t="s">
        <x:v>31</x:v>
      </x:c>
      <x:c r="B125" t="s">
        <x:v>90</x:v>
      </x:c>
      <x:c r="C125" t="s">
        <x:v>219</x:v>
      </x:c>
      <x:c r="D125" t="s">
        <x:v>91</x:v>
      </x:c>
      <x:c r="E125" t="s">
        <x:v>93</x:v>
      </x:c>
      <x:c r="F125" t="s">
        <x:v>194</x:v>
      </x:c>
      <x:c r="G125" t="s">
        <x:v>455</x:v>
      </x:c>
      <x:c r="H125" t="s">
        <x:v>274</x:v>
      </x:c>
      <x:c r="I125">
        <x:v>175.1</x:v>
      </x:c>
      <x:c r="J125">
        <x:v>35.02</x:v>
      </x:c>
      <x:c r="K125" t="n">
        <x:f>IF(J125="","",IF(J125&lt;10,'Price Rules'!$B$5,IF(J125&lt;=50,'Price Rules'!$B$6,'Price Rules'!$B$7)))</x:f>
        <x:v>4</x:v>
      </x:c>
      <x:c r="L125">
        <x:f t="shared" si="1"/>
        <x:v>140</x:v>
      </x:c>
      <x:c r="M125" t="s">
        <x:v>456</x:v>
      </x:c>
      <x:c r="N125" t="s">
        <x:v>171</x:v>
      </x:c>
      <x:c r="O125" t="str">
        <x:v>Ready Stock</x:v>
      </x:c>
      <x:c r="P125">
        <x:v>154</x:v>
      </x:c>
      <x:c r="Q125" t="s">
        <x:v>198</x:v>
      </x:c>
      <x:c r="R125" t="s">
        <x:v>427</x:v>
      </x:c>
      <x:c r="S125" t="s">
        <x:v>174</x:v>
      </x:c>
      <x:c r="T125" t="s">
        <x:v>175</x:v>
      </x:c>
      <x:c r="U125" t="s">
        <x:v>407</x:v>
      </x:c>
      <x:c r="W125" t="str">
        <x:v>36-inch</x:v>
      </x:c>
    </x:row>
    <x:row r="126">
      <x:c r="A126" t="s">
        <x:v>31</x:v>
      </x:c>
      <x:c r="B126" t="s">
        <x:v>90</x:v>
      </x:c>
      <x:c r="C126" t="s">
        <x:v>223</x:v>
      </x:c>
      <x:c r="D126" t="s">
        <x:v>91</x:v>
      </x:c>
      <x:c r="E126" t="s">
        <x:v>93</x:v>
      </x:c>
      <x:c r="F126" t="s">
        <x:v>194</x:v>
      </x:c>
      <x:c r="G126" t="s">
        <x:v>457</x:v>
      </x:c>
      <x:c r="H126" t="s">
        <x:v>274</x:v>
      </x:c>
      <x:c r="I126">
        <x:v>252.75</x:v>
      </x:c>
      <x:c r="J126">
        <x:v>50.55</x:v>
      </x:c>
      <x:c r="K126" t="n">
        <x:f>IF(J126="","",IF(J126&lt;10,'Price Rules'!$B$5,IF(J126&lt;=50,'Price Rules'!$B$6,'Price Rules'!$B$7)))</x:f>
        <x:v>3.5</x:v>
      </x:c>
      <x:c r="L126">
        <x:f t="shared" si="1"/>
        <x:v>177</x:v>
      </x:c>
      <x:c r="M126" t="s">
        <x:v>458</x:v>
      </x:c>
      <x:c r="N126" t="s">
        <x:v>171</x:v>
      </x:c>
      <x:c r="O126" t="str">
        <x:v>Ready Stock</x:v>
      </x:c>
      <x:c r="P126">
        <x:v>155</x:v>
      </x:c>
      <x:c r="Q126" t="s">
        <x:v>198</x:v>
      </x:c>
      <x:c r="R126" t="s">
        <x:v>427</x:v>
      </x:c>
      <x:c r="S126" t="s">
        <x:v>174</x:v>
      </x:c>
      <x:c r="T126" t="s">
        <x:v>175</x:v>
      </x:c>
      <x:c r="U126" t="s">
        <x:v>407</x:v>
      </x:c>
      <x:c r="W126" t="str">
        <x:v>40-inch</x:v>
      </x:c>
    </x:row>
    <x:row r="127">
      <x:c r="A127" t="s">
        <x:v>31</x:v>
      </x:c>
      <x:c r="B127" t="s">
        <x:v>90</x:v>
      </x:c>
      <x:c r="C127" t="s">
        <x:v>227</x:v>
      </x:c>
      <x:c r="D127" t="s">
        <x:v>91</x:v>
      </x:c>
      <x:c r="E127" t="s">
        <x:v>93</x:v>
      </x:c>
      <x:c r="F127" t="s">
        <x:v>194</x:v>
      </x:c>
      <x:c r="G127" t="s">
        <x:v>459</x:v>
      </x:c>
      <x:c r="H127" t="s">
        <x:v>274</x:v>
      </x:c>
      <x:c r="I127">
        <x:v>287.75</x:v>
      </x:c>
      <x:c r="J127">
        <x:v>57.55</x:v>
      </x:c>
      <x:c r="K127" t="n">
        <x:f>IF(J127="","",IF(J127&lt;10,'Price Rules'!$B$5,IF(J127&lt;=50,'Price Rules'!$B$6,'Price Rules'!$B$7)))</x:f>
        <x:v>3.5</x:v>
      </x:c>
      <x:c r="L127">
        <x:f t="shared" si="1"/>
        <x:v>201</x:v>
      </x:c>
      <x:c r="M127" t="s">
        <x:v>460</x:v>
      </x:c>
      <x:c r="N127" t="s">
        <x:v>171</x:v>
      </x:c>
      <x:c r="O127" t="str">
        <x:v>Ready Stock</x:v>
      </x:c>
      <x:c r="P127">
        <x:v>156</x:v>
      </x:c>
      <x:c r="Q127" t="s">
        <x:v>198</x:v>
      </x:c>
      <x:c r="R127" t="s">
        <x:v>427</x:v>
      </x:c>
      <x:c r="S127" t="s">
        <x:v>174</x:v>
      </x:c>
      <x:c r="T127" t="s">
        <x:v>175</x:v>
      </x:c>
      <x:c r="U127" t="s">
        <x:v>407</x:v>
      </x:c>
      <x:c r="W127" t="str">
        <x:v>48-inch</x:v>
      </x:c>
    </x:row>
    <x:row r="128">
      <x:c r="A128" t="s">
        <x:v>31</x:v>
      </x:c>
      <x:c r="B128" t="s">
        <x:v>94</x:v>
      </x:c>
      <x:c r="C128" t="s">
        <x:v>207</x:v>
      </x:c>
      <x:c r="D128" t="s">
        <x:v>95</x:v>
      </x:c>
      <x:c r="E128" t="s">
        <x:v>97</x:v>
      </x:c>
      <x:c r="F128" t="s">
        <x:v>194</x:v>
      </x:c>
      <x:c r="G128" t="s">
        <x:v>461</x:v>
      </x:c>
      <x:c r="H128" t="s">
        <x:v>274</x:v>
      </x:c>
      <x:c r="I128">
        <x:v>95.48</x:v>
      </x:c>
      <x:c r="J128">
        <x:v>19.1</x:v>
      </x:c>
      <x:c r="K128" t="n">
        <x:f>IF(J128="","",IF(J128&lt;10,'Price Rules'!$B$5,IF(J128&lt;=50,'Price Rules'!$B$6,'Price Rules'!$B$7)))</x:f>
        <x:v>4</x:v>
      </x:c>
      <x:c r="L128">
        <x:f t="shared" si="1"/>
        <x:v>76</x:v>
      </x:c>
      <x:c r="M128" t="s">
        <x:v>96</x:v>
      </x:c>
      <x:c r="N128" t="s">
        <x:v>171</x:v>
      </x:c>
      <x:c r="O128" t="str">
        <x:v>Ready Stock</x:v>
      </x:c>
      <x:c r="P128">
        <x:v>159</x:v>
      </x:c>
      <x:c r="Q128" t="s">
        <x:v>198</x:v>
      </x:c>
      <x:c r="R128" t="s">
        <x:v>233</x:v>
      </x:c>
      <x:c r="S128" t="s">
        <x:v>174</x:v>
      </x:c>
      <x:c r="T128" t="s">
        <x:v>175</x:v>
      </x:c>
      <x:c r="U128" t="s">
        <x:v>407</x:v>
      </x:c>
      <x:c r="W128" t="str">
        <x:v>24-small</x:v>
      </x:c>
    </x:row>
    <x:row r="129">
      <x:c r="A129" t="s">
        <x:v>31</x:v>
      </x:c>
      <x:c r="B129" t="s">
        <x:v>94</x:v>
      </x:c>
      <x:c r="C129" t="s">
        <x:v>211</x:v>
      </x:c>
      <x:c r="D129" t="s">
        <x:v>95</x:v>
      </x:c>
      <x:c r="E129" t="s">
        <x:v>97</x:v>
      </x:c>
      <x:c r="F129" t="s">
        <x:v>194</x:v>
      </x:c>
      <x:c r="G129" t="s">
        <x:v>462</x:v>
      </x:c>
      <x:c r="H129" t="s">
        <x:v>274</x:v>
      </x:c>
      <x:c r="I129">
        <x:v>185.05</x:v>
      </x:c>
      <x:c r="J129">
        <x:v>37.01</x:v>
      </x:c>
      <x:c r="K129" t="n">
        <x:f>IF(J129="","",IF(J129&lt;10,'Price Rules'!$B$5,IF(J129&lt;=50,'Price Rules'!$B$6,'Price Rules'!$B$7)))</x:f>
        <x:v>4</x:v>
      </x:c>
      <x:c r="L129">
        <x:f t="shared" si="1"/>
        <x:v>148</x:v>
      </x:c>
      <x:c r="M129" t="s">
        <x:v>463</x:v>
      </x:c>
      <x:c r="N129" t="s">
        <x:v>171</x:v>
      </x:c>
      <x:c r="O129" t="str">
        <x:v>Ready Stock</x:v>
      </x:c>
      <x:c r="P129">
        <x:v>160</x:v>
      </x:c>
      <x:c r="Q129" t="s">
        <x:v>198</x:v>
      </x:c>
      <x:c r="R129" t="s">
        <x:v>233</x:v>
      </x:c>
      <x:c r="S129" t="s">
        <x:v>174</x:v>
      </x:c>
      <x:c r="T129" t="s">
        <x:v>175</x:v>
      </x:c>
      <x:c r="U129" t="s">
        <x:v>407</x:v>
      </x:c>
      <x:c r="W129" t="str">
        <x:v>30-inch</x:v>
      </x:c>
    </x:row>
    <x:row r="130">
      <x:c r="A130" t="s">
        <x:v>31</x:v>
      </x:c>
      <x:c r="B130" t="s">
        <x:v>94</x:v>
      </x:c>
      <x:c r="C130" t="s">
        <x:v>219</x:v>
      </x:c>
      <x:c r="D130" t="s">
        <x:v>95</x:v>
      </x:c>
      <x:c r="E130" t="s">
        <x:v>97</x:v>
      </x:c>
      <x:c r="F130" t="s">
        <x:v>194</x:v>
      </x:c>
      <x:c r="G130" t="s">
        <x:v>464</x:v>
      </x:c>
      <x:c r="H130" t="s">
        <x:v>274</x:v>
      </x:c>
      <x:c r="I130">
        <x:v>184.1</x:v>
      </x:c>
      <x:c r="J130">
        <x:v>36.82</x:v>
      </x:c>
      <x:c r="K130" t="n">
        <x:f>IF(J130="","",IF(J130&lt;10,'Price Rules'!$B$5,IF(J130&lt;=50,'Price Rules'!$B$6,'Price Rules'!$B$7)))</x:f>
        <x:v>4</x:v>
      </x:c>
      <x:c r="L130">
        <x:f t="shared" si="1"/>
        <x:v>147</x:v>
      </x:c>
      <x:c r="M130" t="s">
        <x:v>465</x:v>
      </x:c>
      <x:c r="N130" t="s">
        <x:v>171</x:v>
      </x:c>
      <x:c r="O130" t="str">
        <x:v>Ready Stock</x:v>
      </x:c>
      <x:c r="P130">
        <x:v>161</x:v>
      </x:c>
      <x:c r="Q130" t="s">
        <x:v>198</x:v>
      </x:c>
      <x:c r="R130" t="s">
        <x:v>233</x:v>
      </x:c>
      <x:c r="S130" t="s">
        <x:v>174</x:v>
      </x:c>
      <x:c r="T130" t="s">
        <x:v>175</x:v>
      </x:c>
      <x:c r="U130" t="s">
        <x:v>407</x:v>
      </x:c>
      <x:c r="W130" t="str">
        <x:v>36-inch</x:v>
      </x:c>
    </x:row>
    <x:row r="131">
      <x:c r="A131" t="s">
        <x:v>31</x:v>
      </x:c>
      <x:c r="B131" t="s">
        <x:v>94</x:v>
      </x:c>
      <x:c r="C131" t="s">
        <x:v>223</x:v>
      </x:c>
      <x:c r="D131" t="s">
        <x:v>95</x:v>
      </x:c>
      <x:c r="E131" t="s">
        <x:v>97</x:v>
      </x:c>
      <x:c r="F131" t="s">
        <x:v>194</x:v>
      </x:c>
      <x:c r="G131" t="s">
        <x:v>466</x:v>
      </x:c>
      <x:c r="H131" t="s">
        <x:v>274</x:v>
      </x:c>
      <x:c r="I131">
        <x:v>239.2</x:v>
      </x:c>
      <x:c r="J131">
        <x:v>47.84</x:v>
      </x:c>
      <x:c r="K131" t="n">
        <x:f>IF(J131="","",IF(J131&lt;10,'Price Rules'!$B$5,IF(J131&lt;=50,'Price Rules'!$B$6,'Price Rules'!$B$7)))</x:f>
        <x:v>4</x:v>
      </x:c>
      <x:c r="L131">
        <x:f t="shared" si="1"/>
        <x:v>191</x:v>
      </x:c>
      <x:c r="M131" t="s">
        <x:v>467</x:v>
      </x:c>
      <x:c r="N131" t="s">
        <x:v>171</x:v>
      </x:c>
      <x:c r="O131" t="str">
        <x:v>Ready Stock</x:v>
      </x:c>
      <x:c r="P131">
        <x:v>162</x:v>
      </x:c>
      <x:c r="Q131" t="s">
        <x:v>198</x:v>
      </x:c>
      <x:c r="R131" t="s">
        <x:v>233</x:v>
      </x:c>
      <x:c r="S131" t="s">
        <x:v>174</x:v>
      </x:c>
      <x:c r="T131" t="s">
        <x:v>175</x:v>
      </x:c>
      <x:c r="U131" t="s">
        <x:v>407</x:v>
      </x:c>
      <x:c r="W131" t="str">
        <x:v>40-inch</x:v>
      </x:c>
    </x:row>
    <x:row r="132">
      <x:c r="A132" t="s">
        <x:v>31</x:v>
      </x:c>
      <x:c r="B132" t="s">
        <x:v>94</x:v>
      </x:c>
      <x:c r="C132" t="s">
        <x:v>227</x:v>
      </x:c>
      <x:c r="D132" t="s">
        <x:v>95</x:v>
      </x:c>
      <x:c r="E132" t="s">
        <x:v>97</x:v>
      </x:c>
      <x:c r="F132" t="s">
        <x:v>194</x:v>
      </x:c>
      <x:c r="G132" t="s">
        <x:v>468</x:v>
      </x:c>
      <x:c r="H132" t="s">
        <x:v>274</x:v>
      </x:c>
      <x:c r="I132">
        <x:v>287.75</x:v>
      </x:c>
      <x:c r="J132">
        <x:v>57.55</x:v>
      </x:c>
      <x:c r="K132" t="n">
        <x:f>IF(J132="","",IF(J132&lt;10,'Price Rules'!$B$5,IF(J132&lt;=50,'Price Rules'!$B$6,'Price Rules'!$B$7)))</x:f>
        <x:v>3.5</x:v>
      </x:c>
      <x:c r="L132">
        <x:f t="shared" si="1"/>
        <x:v>201</x:v>
      </x:c>
      <x:c r="M132" t="s">
        <x:v>469</x:v>
      </x:c>
      <x:c r="N132" t="s">
        <x:v>171</x:v>
      </x:c>
      <x:c r="O132" t="str">
        <x:v>Ready Stock</x:v>
      </x:c>
      <x:c r="P132">
        <x:v>163</x:v>
      </x:c>
      <x:c r="Q132" t="s">
        <x:v>198</x:v>
      </x:c>
      <x:c r="R132" t="s">
        <x:v>233</x:v>
      </x:c>
      <x:c r="S132" t="s">
        <x:v>174</x:v>
      </x:c>
      <x:c r="T132" t="s">
        <x:v>175</x:v>
      </x:c>
      <x:c r="U132" t="s">
        <x:v>407</x:v>
      </x:c>
      <x:c r="W132" t="str">
        <x:v>48-inch</x:v>
      </x:c>
    </x:row>
    <x:row r="133">
      <x:c r="A133" t="s">
        <x:v>31</x:v>
      </x:c>
      <x:c r="B133" t="s">
        <x:v>98</x:v>
      </x:c>
      <x:c r="C133" t="s">
        <x:v>207</x:v>
      </x:c>
      <x:c r="D133" t="s">
        <x:v>99</x:v>
      </x:c>
      <x:c r="E133" t="s">
        <x:v>101</x:v>
      </x:c>
      <x:c r="F133" t="s">
        <x:v>194</x:v>
      </x:c>
      <x:c r="G133" t="s">
        <x:v>470</x:v>
      </x:c>
      <x:c r="H133" t="s">
        <x:v>274</x:v>
      </x:c>
      <x:c r="I133">
        <x:v>97.65</x:v>
      </x:c>
      <x:c r="J133">
        <x:v>19.53</x:v>
      </x:c>
      <x:c r="K133" t="n">
        <x:f>IF(J133="","",IF(J133&lt;10,'Price Rules'!$B$5,IF(J133&lt;=50,'Price Rules'!$B$6,'Price Rules'!$B$7)))</x:f>
        <x:v>4</x:v>
      </x:c>
      <x:c r="L133" t="n">
        <x:f t="shared" ref="L133:L196" si="2">IF(J133="","",ROUND(J133*K133,0))</x:f>
        <x:v>78</x:v>
      </x:c>
      <x:c r="M133" t="s">
        <x:v>100</x:v>
      </x:c>
      <x:c r="N133" t="s">
        <x:v>171</x:v>
      </x:c>
      <x:c r="O133" t="str">
        <x:v>Ready Stock</x:v>
      </x:c>
      <x:c r="P133">
        <x:v>166</x:v>
      </x:c>
      <x:c r="Q133" t="s">
        <x:v>198</x:v>
      </x:c>
      <x:c r="R133" t="s">
        <x:v>406</x:v>
      </x:c>
      <x:c r="S133" t="s">
        <x:v>174</x:v>
      </x:c>
      <x:c r="T133" t="s">
        <x:v>175</x:v>
      </x:c>
      <x:c r="U133" t="s">
        <x:v>407</x:v>
      </x:c>
      <x:c r="W133" t="str">
        <x:v>24-small</x:v>
      </x:c>
    </x:row>
    <x:row r="134">
      <x:c r="A134" t="s">
        <x:v>31</x:v>
      </x:c>
      <x:c r="B134" t="s">
        <x:v>98</x:v>
      </x:c>
      <x:c r="C134" t="s">
        <x:v>211</x:v>
      </x:c>
      <x:c r="D134" t="s">
        <x:v>99</x:v>
      </x:c>
      <x:c r="E134" t="s">
        <x:v>101</x:v>
      </x:c>
      <x:c r="F134" t="s">
        <x:v>194</x:v>
      </x:c>
      <x:c r="G134" t="s">
        <x:v>471</x:v>
      </x:c>
      <x:c r="H134" t="s">
        <x:v>274</x:v>
      </x:c>
      <x:c r="I134">
        <x:v>162.36</x:v>
      </x:c>
      <x:c r="J134">
        <x:v>32.47</x:v>
      </x:c>
      <x:c r="K134" t="n">
        <x:f>IF(J134="","",IF(J134&lt;10,'Price Rules'!$B$5,IF(J134&lt;=50,'Price Rules'!$B$6,'Price Rules'!$B$7)))</x:f>
        <x:v>4</x:v>
      </x:c>
      <x:c r="L134">
        <x:f t="shared" si="2"/>
        <x:v>130</x:v>
      </x:c>
      <x:c r="M134" t="s">
        <x:v>472</x:v>
      </x:c>
      <x:c r="N134" t="s">
        <x:v>171</x:v>
      </x:c>
      <x:c r="O134" t="str">
        <x:v>Ready Stock</x:v>
      </x:c>
      <x:c r="P134">
        <x:v>167</x:v>
      </x:c>
      <x:c r="Q134" t="s">
        <x:v>198</x:v>
      </x:c>
      <x:c r="R134" t="s">
        <x:v>406</x:v>
      </x:c>
      <x:c r="S134" t="s">
        <x:v>174</x:v>
      </x:c>
      <x:c r="T134" t="s">
        <x:v>175</x:v>
      </x:c>
      <x:c r="U134" t="s">
        <x:v>407</x:v>
      </x:c>
      <x:c r="W134" t="str">
        <x:v>30-inch</x:v>
      </x:c>
    </x:row>
    <x:row r="135">
      <x:c r="A135" t="s">
        <x:v>31</x:v>
      </x:c>
      <x:c r="B135" t="s">
        <x:v>98</x:v>
      </x:c>
      <x:c r="C135" t="s">
        <x:v>219</x:v>
      </x:c>
      <x:c r="D135" t="s">
        <x:v>99</x:v>
      </x:c>
      <x:c r="E135" t="s">
        <x:v>101</x:v>
      </x:c>
      <x:c r="F135" t="s">
        <x:v>194</x:v>
      </x:c>
      <x:c r="G135" t="s">
        <x:v>473</x:v>
      </x:c>
      <x:c r="H135" t="s">
        <x:v>274</x:v>
      </x:c>
      <x:c r="I135">
        <x:v>170.32</x:v>
      </x:c>
      <x:c r="J135">
        <x:v>34.06</x:v>
      </x:c>
      <x:c r="K135" t="n">
        <x:f>IF(J135="","",IF(J135&lt;10,'Price Rules'!$B$5,IF(J135&lt;=50,'Price Rules'!$B$6,'Price Rules'!$B$7)))</x:f>
        <x:v>4</x:v>
      </x:c>
      <x:c r="L135">
        <x:f t="shared" si="2"/>
        <x:v>136</x:v>
      </x:c>
      <x:c r="M135" t="s">
        <x:v>474</x:v>
      </x:c>
      <x:c r="N135" t="s">
        <x:v>171</x:v>
      </x:c>
      <x:c r="O135" t="str">
        <x:v>Ready Stock</x:v>
      </x:c>
      <x:c r="P135">
        <x:v>168</x:v>
      </x:c>
      <x:c r="Q135" t="s">
        <x:v>198</x:v>
      </x:c>
      <x:c r="R135" t="s">
        <x:v>406</x:v>
      </x:c>
      <x:c r="S135" t="s">
        <x:v>174</x:v>
      </x:c>
      <x:c r="T135" t="s">
        <x:v>175</x:v>
      </x:c>
      <x:c r="U135" t="s">
        <x:v>407</x:v>
      </x:c>
      <x:c r="W135" t="str">
        <x:v>36-inch</x:v>
      </x:c>
    </x:row>
    <x:row r="136">
      <x:c r="A136" t="s">
        <x:v>31</x:v>
      </x:c>
      <x:c r="B136" t="s">
        <x:v>98</x:v>
      </x:c>
      <x:c r="C136" t="s">
        <x:v>223</x:v>
      </x:c>
      <x:c r="D136" t="s">
        <x:v>99</x:v>
      </x:c>
      <x:c r="E136" t="s">
        <x:v>101</x:v>
      </x:c>
      <x:c r="F136" t="s">
        <x:v>194</x:v>
      </x:c>
      <x:c r="G136" t="s">
        <x:v>475</x:v>
      </x:c>
      <x:c r="H136" t="s">
        <x:v>274</x:v>
      </x:c>
      <x:c r="I136">
        <x:v>239.2</x:v>
      </x:c>
      <x:c r="J136">
        <x:v>47.84</x:v>
      </x:c>
      <x:c r="K136" t="n">
        <x:f>IF(J136="","",IF(J136&lt;10,'Price Rules'!$B$5,IF(J136&lt;=50,'Price Rules'!$B$6,'Price Rules'!$B$7)))</x:f>
        <x:v>4</x:v>
      </x:c>
      <x:c r="L136">
        <x:f t="shared" si="2"/>
        <x:v>191</x:v>
      </x:c>
      <x:c r="M136" t="s">
        <x:v>476</x:v>
      </x:c>
      <x:c r="N136" t="s">
        <x:v>171</x:v>
      </x:c>
      <x:c r="O136" t="str">
        <x:v>Ready Stock</x:v>
      </x:c>
      <x:c r="P136">
        <x:v>169</x:v>
      </x:c>
      <x:c r="Q136" t="s">
        <x:v>198</x:v>
      </x:c>
      <x:c r="R136" t="s">
        <x:v>406</x:v>
      </x:c>
      <x:c r="S136" t="s">
        <x:v>174</x:v>
      </x:c>
      <x:c r="T136" t="s">
        <x:v>175</x:v>
      </x:c>
      <x:c r="U136" t="s">
        <x:v>407</x:v>
      </x:c>
      <x:c r="W136" t="str">
        <x:v>40-inch</x:v>
      </x:c>
    </x:row>
    <x:row r="137">
      <x:c r="A137" t="s">
        <x:v>31</x:v>
      </x:c>
      <x:c r="B137" t="s">
        <x:v>98</x:v>
      </x:c>
      <x:c r="C137" t="s">
        <x:v>227</x:v>
      </x:c>
      <x:c r="D137" t="s">
        <x:v>99</x:v>
      </x:c>
      <x:c r="E137" t="s">
        <x:v>101</x:v>
      </x:c>
      <x:c r="F137" t="s">
        <x:v>194</x:v>
      </x:c>
      <x:c r="G137" t="s">
        <x:v>477</x:v>
      </x:c>
      <x:c r="H137" t="s">
        <x:v>274</x:v>
      </x:c>
      <x:c r="I137">
        <x:v>252.7</x:v>
      </x:c>
      <x:c r="J137">
        <x:v>50.54</x:v>
      </x:c>
      <x:c r="K137" t="n">
        <x:f>IF(J137="","",IF(J137&lt;10,'Price Rules'!$B$5,IF(J137&lt;=50,'Price Rules'!$B$6,'Price Rules'!$B$7)))</x:f>
        <x:v>3.5</x:v>
      </x:c>
      <x:c r="L137">
        <x:f t="shared" si="2"/>
        <x:v>177</x:v>
      </x:c>
      <x:c r="M137" t="s">
        <x:v>478</x:v>
      </x:c>
      <x:c r="N137" t="s">
        <x:v>171</x:v>
      </x:c>
      <x:c r="O137" t="str">
        <x:v>Ready Stock</x:v>
      </x:c>
      <x:c r="P137">
        <x:v>170</x:v>
      </x:c>
      <x:c r="Q137" t="s">
        <x:v>198</x:v>
      </x:c>
      <x:c r="R137" t="s">
        <x:v>406</x:v>
      </x:c>
      <x:c r="S137" t="s">
        <x:v>174</x:v>
      </x:c>
      <x:c r="T137" t="s">
        <x:v>175</x:v>
      </x:c>
      <x:c r="U137" t="s">
        <x:v>407</x:v>
      </x:c>
      <x:c r="W137" t="str">
        <x:v>48-inch</x:v>
      </x:c>
    </x:row>
    <x:row r="138">
      <x:c r="A138" t="s">
        <x:v>31</x:v>
      </x:c>
      <x:c r="B138" t="s">
        <x:v>102</x:v>
      </x:c>
      <x:c r="C138" t="s">
        <x:v>207</x:v>
      </x:c>
      <x:c r="D138" t="s">
        <x:v>103</x:v>
      </x:c>
      <x:c r="E138" t="s">
        <x:v>105</x:v>
      </x:c>
      <x:c r="F138" t="s">
        <x:v>194</x:v>
      </x:c>
      <x:c r="G138" t="s">
        <x:v>479</x:v>
      </x:c>
      <x:c r="H138" t="s">
        <x:v>274</x:v>
      </x:c>
      <x:c r="I138">
        <x:v>109.05</x:v>
      </x:c>
      <x:c r="J138">
        <x:v>21.81</x:v>
      </x:c>
      <x:c r="K138" t="n">
        <x:f>IF(J138="","",IF(J138&lt;10,'Price Rules'!$B$5,IF(J138&lt;=50,'Price Rules'!$B$6,'Price Rules'!$B$7)))</x:f>
        <x:v>4</x:v>
      </x:c>
      <x:c r="L138">
        <x:f t="shared" si="2"/>
        <x:v>87</x:v>
      </x:c>
      <x:c r="M138" t="s">
        <x:v>104</x:v>
      </x:c>
      <x:c r="N138" t="s">
        <x:v>171</x:v>
      </x:c>
      <x:c r="O138" t="str">
        <x:v>Ready Stock</x:v>
      </x:c>
      <x:c r="P138">
        <x:v>173</x:v>
      </x:c>
      <x:c r="Q138" t="s">
        <x:v>198</x:v>
      </x:c>
      <x:c r="R138" t="s">
        <x:v>417</x:v>
      </x:c>
      <x:c r="S138" t="s">
        <x:v>174</x:v>
      </x:c>
      <x:c r="T138" t="s">
        <x:v>175</x:v>
      </x:c>
      <x:c r="U138" t="s">
        <x:v>407</x:v>
      </x:c>
      <x:c r="W138" t="str">
        <x:v>24-small</x:v>
      </x:c>
    </x:row>
    <x:row r="139">
      <x:c r="A139" t="s">
        <x:v>31</x:v>
      </x:c>
      <x:c r="B139" t="s">
        <x:v>102</x:v>
      </x:c>
      <x:c r="C139" t="s">
        <x:v>211</x:v>
      </x:c>
      <x:c r="D139" t="s">
        <x:v>103</x:v>
      </x:c>
      <x:c r="E139" t="s">
        <x:v>105</x:v>
      </x:c>
      <x:c r="F139" t="s">
        <x:v>194</x:v>
      </x:c>
      <x:c r="G139" t="s">
        <x:v>480</x:v>
      </x:c>
      <x:c r="H139" t="s">
        <x:v>274</x:v>
      </x:c>
      <x:c r="I139">
        <x:v>159.05</x:v>
      </x:c>
      <x:c r="J139">
        <x:v>31.81</x:v>
      </x:c>
      <x:c r="K139" t="n">
        <x:f>IF(J139="","",IF(J139&lt;10,'Price Rules'!$B$5,IF(J139&lt;=50,'Price Rules'!$B$6,'Price Rules'!$B$7)))</x:f>
        <x:v>4</x:v>
      </x:c>
      <x:c r="L139">
        <x:f t="shared" si="2"/>
        <x:v>127</x:v>
      </x:c>
      <x:c r="M139" t="s">
        <x:v>481</x:v>
      </x:c>
      <x:c r="N139" t="s">
        <x:v>171</x:v>
      </x:c>
      <x:c r="O139" t="str">
        <x:v>Ready Stock</x:v>
      </x:c>
      <x:c r="P139">
        <x:v>174</x:v>
      </x:c>
      <x:c r="Q139" t="s">
        <x:v>198</x:v>
      </x:c>
      <x:c r="R139" t="s">
        <x:v>417</x:v>
      </x:c>
      <x:c r="S139" t="s">
        <x:v>174</x:v>
      </x:c>
      <x:c r="T139" t="s">
        <x:v>175</x:v>
      </x:c>
      <x:c r="U139" t="s">
        <x:v>407</x:v>
      </x:c>
      <x:c r="W139" t="str">
        <x:v>30-inch</x:v>
      </x:c>
    </x:row>
    <x:row r="140">
      <x:c r="A140" t="s">
        <x:v>31</x:v>
      </x:c>
      <x:c r="B140" t="s">
        <x:v>102</x:v>
      </x:c>
      <x:c r="C140" t="s">
        <x:v>219</x:v>
      </x:c>
      <x:c r="D140" t="s">
        <x:v>103</x:v>
      </x:c>
      <x:c r="E140" t="s">
        <x:v>105</x:v>
      </x:c>
      <x:c r="F140" t="s">
        <x:v>194</x:v>
      </x:c>
      <x:c r="G140" t="s">
        <x:v>482</x:v>
      </x:c>
      <x:c r="H140" t="s">
        <x:v>274</x:v>
      </x:c>
      <x:c r="I140">
        <x:v>175.1</x:v>
      </x:c>
      <x:c r="J140">
        <x:v>35.02</x:v>
      </x:c>
      <x:c r="K140" t="n">
        <x:f>IF(J140="","",IF(J140&lt;10,'Price Rules'!$B$5,IF(J140&lt;=50,'Price Rules'!$B$6,'Price Rules'!$B$7)))</x:f>
        <x:v>4</x:v>
      </x:c>
      <x:c r="L140">
        <x:f t="shared" si="2"/>
        <x:v>140</x:v>
      </x:c>
      <x:c r="M140" t="s">
        <x:v>483</x:v>
      </x:c>
      <x:c r="N140" t="s">
        <x:v>171</x:v>
      </x:c>
      <x:c r="O140" t="str">
        <x:v>Ready Stock</x:v>
      </x:c>
      <x:c r="P140">
        <x:v>175</x:v>
      </x:c>
      <x:c r="Q140" t="s">
        <x:v>198</x:v>
      </x:c>
      <x:c r="R140" t="s">
        <x:v>417</x:v>
      </x:c>
      <x:c r="S140" t="s">
        <x:v>174</x:v>
      </x:c>
      <x:c r="T140" t="s">
        <x:v>175</x:v>
      </x:c>
      <x:c r="U140" t="s">
        <x:v>407</x:v>
      </x:c>
      <x:c r="W140" t="str">
        <x:v>36-inch</x:v>
      </x:c>
    </x:row>
    <x:row r="141">
      <x:c r="A141" t="s">
        <x:v>31</x:v>
      </x:c>
      <x:c r="B141" t="s">
        <x:v>102</x:v>
      </x:c>
      <x:c r="C141" t="s">
        <x:v>223</x:v>
      </x:c>
      <x:c r="D141" t="s">
        <x:v>103</x:v>
      </x:c>
      <x:c r="E141" t="s">
        <x:v>105</x:v>
      </x:c>
      <x:c r="F141" t="s">
        <x:v>194</x:v>
      </x:c>
      <x:c r="G141" t="s">
        <x:v>484</x:v>
      </x:c>
      <x:c r="H141" t="s">
        <x:v>274</x:v>
      </x:c>
      <x:c r="I141">
        <x:v>252.75</x:v>
      </x:c>
      <x:c r="J141">
        <x:v>50.55</x:v>
      </x:c>
      <x:c r="K141" t="n">
        <x:f>IF(J141="","",IF(J141&lt;10,'Price Rules'!$B$5,IF(J141&lt;=50,'Price Rules'!$B$6,'Price Rules'!$B$7)))</x:f>
        <x:v>3.5</x:v>
      </x:c>
      <x:c r="L141">
        <x:f t="shared" si="2"/>
        <x:v>177</x:v>
      </x:c>
      <x:c r="M141" t="s">
        <x:v>485</x:v>
      </x:c>
      <x:c r="N141" t="s">
        <x:v>171</x:v>
      </x:c>
      <x:c r="O141" t="str">
        <x:v>Ready Stock</x:v>
      </x:c>
      <x:c r="P141">
        <x:v>176</x:v>
      </x:c>
      <x:c r="Q141" t="s">
        <x:v>198</x:v>
      </x:c>
      <x:c r="R141" t="s">
        <x:v>417</x:v>
      </x:c>
      <x:c r="S141" t="s">
        <x:v>174</x:v>
      </x:c>
      <x:c r="T141" t="s">
        <x:v>175</x:v>
      </x:c>
      <x:c r="U141" t="s">
        <x:v>407</x:v>
      </x:c>
      <x:c r="W141" t="str">
        <x:v>40-inch</x:v>
      </x:c>
    </x:row>
    <x:row r="142">
      <x:c r="A142" t="s">
        <x:v>31</x:v>
      </x:c>
      <x:c r="B142" t="s">
        <x:v>102</x:v>
      </x:c>
      <x:c r="C142" t="s">
        <x:v>227</x:v>
      </x:c>
      <x:c r="D142" t="s">
        <x:v>103</x:v>
      </x:c>
      <x:c r="E142" t="s">
        <x:v>105</x:v>
      </x:c>
      <x:c r="F142" t="s">
        <x:v>194</x:v>
      </x:c>
      <x:c r="G142" t="s">
        <x:v>486</x:v>
      </x:c>
      <x:c r="H142" t="s">
        <x:v>274</x:v>
      </x:c>
      <x:c r="I142">
        <x:v>287.75</x:v>
      </x:c>
      <x:c r="J142">
        <x:v>57.55</x:v>
      </x:c>
      <x:c r="K142" t="n">
        <x:f>IF(J142="","",IF(J142&lt;10,'Price Rules'!$B$5,IF(J142&lt;=50,'Price Rules'!$B$6,'Price Rules'!$B$7)))</x:f>
        <x:v>3.5</x:v>
      </x:c>
      <x:c r="L142">
        <x:f t="shared" si="2"/>
        <x:v>201</x:v>
      </x:c>
      <x:c r="M142" t="s">
        <x:v>487</x:v>
      </x:c>
      <x:c r="N142" t="s">
        <x:v>171</x:v>
      </x:c>
      <x:c r="O142" t="str">
        <x:v>Ready Stock</x:v>
      </x:c>
      <x:c r="P142">
        <x:v>177</x:v>
      </x:c>
      <x:c r="Q142" t="s">
        <x:v>198</x:v>
      </x:c>
      <x:c r="R142" t="s">
        <x:v>417</x:v>
      </x:c>
      <x:c r="S142" t="s">
        <x:v>174</x:v>
      </x:c>
      <x:c r="T142" t="s">
        <x:v>175</x:v>
      </x:c>
      <x:c r="U142" t="s">
        <x:v>407</x:v>
      </x:c>
      <x:c r="W142" t="str">
        <x:v>48-inch</x:v>
      </x:c>
    </x:row>
    <x:row r="143">
      <x:c r="A143" t="s">
        <x:v>31</x:v>
      </x:c>
      <x:c r="B143" t="s">
        <x:v>106</x:v>
      </x:c>
      <x:c r="C143" t="s">
        <x:v>207</x:v>
      </x:c>
      <x:c r="D143" t="s">
        <x:v>107</x:v>
      </x:c>
      <x:c r="E143" t="s">
        <x:v>109</x:v>
      </x:c>
      <x:c r="F143" t="s">
        <x:v>194</x:v>
      </x:c>
      <x:c r="G143" t="s">
        <x:v>488</x:v>
      </x:c>
      <x:c r="H143" t="s">
        <x:v>274</x:v>
      </x:c>
      <x:c r="I143">
        <x:v>97.65</x:v>
      </x:c>
      <x:c r="J143">
        <x:v>19.53</x:v>
      </x:c>
      <x:c r="K143" t="n">
        <x:f>IF(J143="","",IF(J143&lt;10,'Price Rules'!$B$5,IF(J143&lt;=50,'Price Rules'!$B$6,'Price Rules'!$B$7)))</x:f>
        <x:v>4</x:v>
      </x:c>
      <x:c r="L143">
        <x:f t="shared" si="2"/>
        <x:v>78</x:v>
      </x:c>
      <x:c r="M143" t="s">
        <x:v>108</x:v>
      </x:c>
      <x:c r="N143" t="s">
        <x:v>171</x:v>
      </x:c>
      <x:c r="O143" t="str">
        <x:v>Ready Stock</x:v>
      </x:c>
      <x:c r="P143">
        <x:v>180</x:v>
      </x:c>
      <x:c r="Q143" t="s">
        <x:v>198</x:v>
      </x:c>
      <x:c r="R143" t="s">
        <x:v>233</x:v>
      </x:c>
      <x:c r="S143" t="s">
        <x:v>174</x:v>
      </x:c>
      <x:c r="T143" t="s">
        <x:v>175</x:v>
      </x:c>
      <x:c r="U143" t="s">
        <x:v>407</x:v>
      </x:c>
      <x:c r="W143" t="str">
        <x:v>24-small</x:v>
      </x:c>
    </x:row>
    <x:row r="144">
      <x:c r="A144" t="s">
        <x:v>31</x:v>
      </x:c>
      <x:c r="B144" t="s">
        <x:v>106</x:v>
      </x:c>
      <x:c r="C144" t="s">
        <x:v>211</x:v>
      </x:c>
      <x:c r="D144" t="s">
        <x:v>107</x:v>
      </x:c>
      <x:c r="E144" t="s">
        <x:v>109</x:v>
      </x:c>
      <x:c r="F144" t="s">
        <x:v>194</x:v>
      </x:c>
      <x:c r="G144" t="s">
        <x:v>489</x:v>
      </x:c>
      <x:c r="H144" t="s">
        <x:v>274</x:v>
      </x:c>
      <x:c r="I144">
        <x:v>155.36</x:v>
      </x:c>
      <x:c r="J144">
        <x:v>31.07</x:v>
      </x:c>
      <x:c r="K144" t="n">
        <x:f>IF(J144="","",IF(J144&lt;10,'Price Rules'!$B$5,IF(J144&lt;=50,'Price Rules'!$B$6,'Price Rules'!$B$7)))</x:f>
        <x:v>4</x:v>
      </x:c>
      <x:c r="L144">
        <x:f t="shared" si="2"/>
        <x:v>124</x:v>
      </x:c>
      <x:c r="M144" t="s">
        <x:v>490</x:v>
      </x:c>
      <x:c r="N144" t="s">
        <x:v>171</x:v>
      </x:c>
      <x:c r="O144" t="str">
        <x:v>Ready Stock</x:v>
      </x:c>
      <x:c r="P144">
        <x:v>181</x:v>
      </x:c>
      <x:c r="Q144" t="s">
        <x:v>198</x:v>
      </x:c>
      <x:c r="R144" t="s">
        <x:v>233</x:v>
      </x:c>
      <x:c r="S144" t="s">
        <x:v>174</x:v>
      </x:c>
      <x:c r="T144" t="s">
        <x:v>175</x:v>
      </x:c>
      <x:c r="U144" t="s">
        <x:v>407</x:v>
      </x:c>
      <x:c r="W144" t="str">
        <x:v>30-inch</x:v>
      </x:c>
    </x:row>
    <x:row r="145">
      <x:c r="A145" t="s">
        <x:v>31</x:v>
      </x:c>
      <x:c r="B145" t="s">
        <x:v>106</x:v>
      </x:c>
      <x:c r="C145" t="s">
        <x:v>219</x:v>
      </x:c>
      <x:c r="D145" t="s">
        <x:v>107</x:v>
      </x:c>
      <x:c r="E145" t="s">
        <x:v>109</x:v>
      </x:c>
      <x:c r="F145" t="s">
        <x:v>194</x:v>
      </x:c>
      <x:c r="G145" t="s">
        <x:v>491</x:v>
      </x:c>
      <x:c r="H145" t="s">
        <x:v>274</x:v>
      </x:c>
      <x:c r="I145">
        <x:v>175.1</x:v>
      </x:c>
      <x:c r="J145">
        <x:v>35.02</x:v>
      </x:c>
      <x:c r="K145" t="n">
        <x:f>IF(J145="","",IF(J145&lt;10,'Price Rules'!$B$5,IF(J145&lt;=50,'Price Rules'!$B$6,'Price Rules'!$B$7)))</x:f>
        <x:v>4</x:v>
      </x:c>
      <x:c r="L145">
        <x:f t="shared" si="2"/>
        <x:v>140</x:v>
      </x:c>
      <x:c r="M145" t="s">
        <x:v>492</x:v>
      </x:c>
      <x:c r="N145" t="s">
        <x:v>171</x:v>
      </x:c>
      <x:c r="O145" t="str">
        <x:v>Ready Stock</x:v>
      </x:c>
      <x:c r="P145">
        <x:v>182</x:v>
      </x:c>
      <x:c r="Q145" t="s">
        <x:v>198</x:v>
      </x:c>
      <x:c r="R145" t="s">
        <x:v>233</x:v>
      </x:c>
      <x:c r="S145" t="s">
        <x:v>174</x:v>
      </x:c>
      <x:c r="T145" t="s">
        <x:v>175</x:v>
      </x:c>
      <x:c r="U145" t="s">
        <x:v>407</x:v>
      </x:c>
      <x:c r="W145" t="str">
        <x:v>36-inch</x:v>
      </x:c>
    </x:row>
    <x:row r="146">
      <x:c r="A146" t="s">
        <x:v>31</x:v>
      </x:c>
      <x:c r="B146" t="s">
        <x:v>106</x:v>
      </x:c>
      <x:c r="C146" t="s">
        <x:v>223</x:v>
      </x:c>
      <x:c r="D146" t="s">
        <x:v>107</x:v>
      </x:c>
      <x:c r="E146" t="s">
        <x:v>109</x:v>
      </x:c>
      <x:c r="F146" t="s">
        <x:v>194</x:v>
      </x:c>
      <x:c r="G146" t="s">
        <x:v>493</x:v>
      </x:c>
      <x:c r="H146" t="s">
        <x:v>274</x:v>
      </x:c>
      <x:c r="I146">
        <x:v>222.26</x:v>
      </x:c>
      <x:c r="J146">
        <x:v>44.45</x:v>
      </x:c>
      <x:c r="K146" t="n">
        <x:f>IF(J146="","",IF(J146&lt;10,'Price Rules'!$B$5,IF(J146&lt;=50,'Price Rules'!$B$6,'Price Rules'!$B$7)))</x:f>
        <x:v>4</x:v>
      </x:c>
      <x:c r="L146">
        <x:f t="shared" si="2"/>
        <x:v>178</x:v>
      </x:c>
      <x:c r="M146" t="s">
        <x:v>494</x:v>
      </x:c>
      <x:c r="N146" t="s">
        <x:v>171</x:v>
      </x:c>
      <x:c r="O146" t="str">
        <x:v>Ready Stock</x:v>
      </x:c>
      <x:c r="P146">
        <x:v>183</x:v>
      </x:c>
      <x:c r="Q146" t="s">
        <x:v>198</x:v>
      </x:c>
      <x:c r="R146" t="s">
        <x:v>233</x:v>
      </x:c>
      <x:c r="S146" t="s">
        <x:v>174</x:v>
      </x:c>
      <x:c r="T146" t="s">
        <x:v>175</x:v>
      </x:c>
      <x:c r="U146" t="s">
        <x:v>407</x:v>
      </x:c>
      <x:c r="W146" t="str">
        <x:v>40-inch</x:v>
      </x:c>
    </x:row>
    <x:row r="147">
      <x:c r="A147" t="s">
        <x:v>31</x:v>
      </x:c>
      <x:c r="B147" t="s">
        <x:v>106</x:v>
      </x:c>
      <x:c r="C147" t="s">
        <x:v>227</x:v>
      </x:c>
      <x:c r="D147" t="s">
        <x:v>107</x:v>
      </x:c>
      <x:c r="E147" t="s">
        <x:v>109</x:v>
      </x:c>
      <x:c r="F147" t="s">
        <x:v>194</x:v>
      </x:c>
      <x:c r="G147" t="s">
        <x:v>495</x:v>
      </x:c>
      <x:c r="H147" t="s">
        <x:v>274</x:v>
      </x:c>
      <x:c r="I147">
        <x:v>258.4</x:v>
      </x:c>
      <x:c r="J147">
        <x:v>51.68</x:v>
      </x:c>
      <x:c r="K147" t="n">
        <x:f>IF(J147="","",IF(J147&lt;10,'Price Rules'!$B$5,IF(J147&lt;=50,'Price Rules'!$B$6,'Price Rules'!$B$7)))</x:f>
        <x:v>3.5</x:v>
      </x:c>
      <x:c r="L147">
        <x:f t="shared" si="2"/>
        <x:v>181</x:v>
      </x:c>
      <x:c r="M147" t="s">
        <x:v>496</x:v>
      </x:c>
      <x:c r="N147" t="s">
        <x:v>171</x:v>
      </x:c>
      <x:c r="O147" t="str">
        <x:v>Ready Stock</x:v>
      </x:c>
      <x:c r="P147">
        <x:v>184</x:v>
      </x:c>
      <x:c r="Q147" t="s">
        <x:v>198</x:v>
      </x:c>
      <x:c r="R147" t="s">
        <x:v>233</x:v>
      </x:c>
      <x:c r="S147" t="s">
        <x:v>174</x:v>
      </x:c>
      <x:c r="T147" t="s">
        <x:v>175</x:v>
      </x:c>
      <x:c r="U147" t="s">
        <x:v>407</x:v>
      </x:c>
      <x:c r="W147" t="str">
        <x:v>48-inch</x:v>
      </x:c>
    </x:row>
    <x:row r="148">
      <x:c r="A148" t="s">
        <x:v>31</x:v>
      </x:c>
      <x:c r="B148" t="s">
        <x:v>110</x:v>
      </x:c>
      <x:c r="C148" t="s">
        <x:v>207</x:v>
      </x:c>
      <x:c r="D148" t="s">
        <x:v>111</x:v>
      </x:c>
      <x:c r="E148" t="s">
        <x:v>113</x:v>
      </x:c>
      <x:c r="F148" t="s">
        <x:v>194</x:v>
      </x:c>
      <x:c r="G148" t="s">
        <x:v>497</x:v>
      </x:c>
      <x:c r="H148" t="s">
        <x:v>274</x:v>
      </x:c>
      <x:c r="I148">
        <x:v>109.05</x:v>
      </x:c>
      <x:c r="J148">
        <x:v>21.81</x:v>
      </x:c>
      <x:c r="K148" t="n">
        <x:f>IF(J148="","",IF(J148&lt;10,'Price Rules'!$B$5,IF(J148&lt;=50,'Price Rules'!$B$6,'Price Rules'!$B$7)))</x:f>
        <x:v>4</x:v>
      </x:c>
      <x:c r="L148">
        <x:f t="shared" si="2"/>
        <x:v>87</x:v>
      </x:c>
      <x:c r="M148" t="s">
        <x:v>112</x:v>
      </x:c>
      <x:c r="N148" t="s">
        <x:v>171</x:v>
      </x:c>
      <x:c r="O148" t="str">
        <x:v>Ready Stock</x:v>
      </x:c>
      <x:c r="P148">
        <x:v>187</x:v>
      </x:c>
      <x:c r="Q148" t="s">
        <x:v>198</x:v>
      </x:c>
      <x:c r="R148" t="s">
        <x:v>233</x:v>
      </x:c>
      <x:c r="S148" t="s">
        <x:v>174</x:v>
      </x:c>
      <x:c r="T148" t="s">
        <x:v>175</x:v>
      </x:c>
      <x:c r="U148" t="s">
        <x:v>407</x:v>
      </x:c>
      <x:c r="W148" t="str">
        <x:v>24-small</x:v>
      </x:c>
    </x:row>
    <x:row r="149">
      <x:c r="A149" t="s">
        <x:v>31</x:v>
      </x:c>
      <x:c r="B149" t="s">
        <x:v>110</x:v>
      </x:c>
      <x:c r="C149" t="s">
        <x:v>211</x:v>
      </x:c>
      <x:c r="D149" t="s">
        <x:v>111</x:v>
      </x:c>
      <x:c r="E149" t="s">
        <x:v>113</x:v>
      </x:c>
      <x:c r="F149" t="s">
        <x:v>194</x:v>
      </x:c>
      <x:c r="G149" t="s">
        <x:v>498</x:v>
      </x:c>
      <x:c r="H149" t="s">
        <x:v>274</x:v>
      </x:c>
      <x:c r="I149">
        <x:v>175.05</x:v>
      </x:c>
      <x:c r="J149">
        <x:v>35.01</x:v>
      </x:c>
      <x:c r="K149" t="n">
        <x:f>IF(J149="","",IF(J149&lt;10,'Price Rules'!$B$5,IF(J149&lt;=50,'Price Rules'!$B$6,'Price Rules'!$B$7)))</x:f>
        <x:v>4</x:v>
      </x:c>
      <x:c r="L149">
        <x:f t="shared" si="2"/>
        <x:v>140</x:v>
      </x:c>
      <x:c r="M149" t="s">
        <x:v>499</x:v>
      </x:c>
      <x:c r="N149" t="s">
        <x:v>171</x:v>
      </x:c>
      <x:c r="O149" t="str">
        <x:v>Ready Stock</x:v>
      </x:c>
      <x:c r="P149">
        <x:v>188</x:v>
      </x:c>
      <x:c r="Q149" t="s">
        <x:v>198</x:v>
      </x:c>
      <x:c r="R149" t="s">
        <x:v>233</x:v>
      </x:c>
      <x:c r="S149" t="s">
        <x:v>174</x:v>
      </x:c>
      <x:c r="T149" t="s">
        <x:v>175</x:v>
      </x:c>
      <x:c r="U149" t="s">
        <x:v>407</x:v>
      </x:c>
      <x:c r="W149" t="str">
        <x:v>30-inch</x:v>
      </x:c>
    </x:row>
    <x:row r="150">
      <x:c r="A150" t="s">
        <x:v>31</x:v>
      </x:c>
      <x:c r="B150" t="s">
        <x:v>110</x:v>
      </x:c>
      <x:c r="C150" t="s">
        <x:v>219</x:v>
      </x:c>
      <x:c r="D150" t="s">
        <x:v>111</x:v>
      </x:c>
      <x:c r="E150" t="s">
        <x:v>113</x:v>
      </x:c>
      <x:c r="F150" t="s">
        <x:v>194</x:v>
      </x:c>
      <x:c r="G150" t="s">
        <x:v>500</x:v>
      </x:c>
      <x:c r="H150" t="s">
        <x:v>274</x:v>
      </x:c>
      <x:c r="I150">
        <x:v>199.75</x:v>
      </x:c>
      <x:c r="J150">
        <x:v>39.95</x:v>
      </x:c>
      <x:c r="K150" t="n">
        <x:f>IF(J150="","",IF(J150&lt;10,'Price Rules'!$B$5,IF(J150&lt;=50,'Price Rules'!$B$6,'Price Rules'!$B$7)))</x:f>
        <x:v>4</x:v>
      </x:c>
      <x:c r="L150">
        <x:f t="shared" si="2"/>
        <x:v>160</x:v>
      </x:c>
      <x:c r="M150" t="s">
        <x:v>501</x:v>
      </x:c>
      <x:c r="N150" t="s">
        <x:v>171</x:v>
      </x:c>
      <x:c r="O150" t="str">
        <x:v>Ready Stock</x:v>
      </x:c>
      <x:c r="P150">
        <x:v>189</x:v>
      </x:c>
      <x:c r="Q150" t="s">
        <x:v>198</x:v>
      </x:c>
      <x:c r="R150" t="s">
        <x:v>233</x:v>
      </x:c>
      <x:c r="S150" t="s">
        <x:v>174</x:v>
      </x:c>
      <x:c r="T150" t="s">
        <x:v>175</x:v>
      </x:c>
      <x:c r="U150" t="s">
        <x:v>407</x:v>
      </x:c>
      <x:c r="W150" t="str">
        <x:v>36-inch</x:v>
      </x:c>
    </x:row>
    <x:row r="151">
      <x:c r="A151" t="s">
        <x:v>31</x:v>
      </x:c>
      <x:c r="B151" t="s">
        <x:v>110</x:v>
      </x:c>
      <x:c r="C151" t="s">
        <x:v>223</x:v>
      </x:c>
      <x:c r="D151" t="s">
        <x:v>111</x:v>
      </x:c>
      <x:c r="E151" t="s">
        <x:v>113</x:v>
      </x:c>
      <x:c r="F151" t="s">
        <x:v>194</x:v>
      </x:c>
      <x:c r="G151" t="s">
        <x:v>502</x:v>
      </x:c>
      <x:c r="H151" t="s">
        <x:v>274</x:v>
      </x:c>
      <x:c r="I151">
        <x:v>252.75</x:v>
      </x:c>
      <x:c r="J151">
        <x:v>50.55</x:v>
      </x:c>
      <x:c r="K151" t="n">
        <x:f>IF(J151="","",IF(J151&lt;10,'Price Rules'!$B$5,IF(J151&lt;=50,'Price Rules'!$B$6,'Price Rules'!$B$7)))</x:f>
        <x:v>3.5</x:v>
      </x:c>
      <x:c r="L151">
        <x:f t="shared" si="2"/>
        <x:v>177</x:v>
      </x:c>
      <x:c r="M151" t="s">
        <x:v>503</x:v>
      </x:c>
      <x:c r="N151" t="s">
        <x:v>171</x:v>
      </x:c>
      <x:c r="O151" t="str">
        <x:v>Ready Stock</x:v>
      </x:c>
      <x:c r="P151">
        <x:v>190</x:v>
      </x:c>
      <x:c r="Q151" t="s">
        <x:v>198</x:v>
      </x:c>
      <x:c r="R151" t="s">
        <x:v>233</x:v>
      </x:c>
      <x:c r="S151" t="s">
        <x:v>174</x:v>
      </x:c>
      <x:c r="T151" t="s">
        <x:v>175</x:v>
      </x:c>
      <x:c r="U151" t="s">
        <x:v>407</x:v>
      </x:c>
      <x:c r="W151" t="str">
        <x:v>40-inch</x:v>
      </x:c>
    </x:row>
    <x:row r="152">
      <x:c r="A152" t="s">
        <x:v>31</x:v>
      </x:c>
      <x:c r="B152" t="s">
        <x:v>110</x:v>
      </x:c>
      <x:c r="C152" t="s">
        <x:v>227</x:v>
      </x:c>
      <x:c r="D152" t="s">
        <x:v>111</x:v>
      </x:c>
      <x:c r="E152" t="s">
        <x:v>113</x:v>
      </x:c>
      <x:c r="F152" t="s">
        <x:v>194</x:v>
      </x:c>
      <x:c r="G152" t="s">
        <x:v>504</x:v>
      </x:c>
      <x:c r="H152" t="s">
        <x:v>274</x:v>
      </x:c>
      <x:c r="I152">
        <x:v>287.75</x:v>
      </x:c>
      <x:c r="J152">
        <x:v>57.55</x:v>
      </x:c>
      <x:c r="K152" t="n">
        <x:f>IF(J152="","",IF(J152&lt;10,'Price Rules'!$B$5,IF(J152&lt;=50,'Price Rules'!$B$6,'Price Rules'!$B$7)))</x:f>
        <x:v>3.5</x:v>
      </x:c>
      <x:c r="L152">
        <x:f t="shared" si="2"/>
        <x:v>201</x:v>
      </x:c>
      <x:c r="M152" t="s">
        <x:v>505</x:v>
      </x:c>
      <x:c r="N152" t="s">
        <x:v>171</x:v>
      </x:c>
      <x:c r="O152" t="str">
        <x:v>Ready Stock</x:v>
      </x:c>
      <x:c r="P152">
        <x:v>191</x:v>
      </x:c>
      <x:c r="Q152" t="s">
        <x:v>198</x:v>
      </x:c>
      <x:c r="R152" t="s">
        <x:v>233</x:v>
      </x:c>
      <x:c r="S152" t="s">
        <x:v>174</x:v>
      </x:c>
      <x:c r="T152" t="s">
        <x:v>175</x:v>
      </x:c>
      <x:c r="U152" t="s">
        <x:v>407</x:v>
      </x:c>
      <x:c r="W152" t="str">
        <x:v>48-inch</x:v>
      </x:c>
    </x:row>
    <x:row r="153">
      <x:c r="A153" t="s">
        <x:v>31</x:v>
      </x:c>
      <x:c r="B153" t="s">
        <x:v>114</x:v>
      </x:c>
      <x:c r="C153" t="s">
        <x:v>207</x:v>
      </x:c>
      <x:c r="D153" t="s">
        <x:v>115</x:v>
      </x:c>
      <x:c r="E153" t="s">
        <x:v>117</x:v>
      </x:c>
      <x:c r="F153" t="s">
        <x:v>194</x:v>
      </x:c>
      <x:c r="G153" t="s">
        <x:v>506</x:v>
      </x:c>
      <x:c r="H153" t="s">
        <x:v>274</x:v>
      </x:c>
      <x:c r="I153">
        <x:v>109.05</x:v>
      </x:c>
      <x:c r="J153">
        <x:v>21.81</x:v>
      </x:c>
      <x:c r="K153" t="n">
        <x:f>IF(J153="","",IF(J153&lt;10,'Price Rules'!$B$5,IF(J153&lt;=50,'Price Rules'!$B$6,'Price Rules'!$B$7)))</x:f>
        <x:v>4</x:v>
      </x:c>
      <x:c r="L153">
        <x:f t="shared" si="2"/>
        <x:v>87</x:v>
      </x:c>
      <x:c r="M153" t="s">
        <x:v>116</x:v>
      </x:c>
      <x:c r="N153" t="s">
        <x:v>171</x:v>
      </x:c>
      <x:c r="O153" t="str">
        <x:v>Ready Stock</x:v>
      </x:c>
      <x:c r="P153">
        <x:v>194</x:v>
      </x:c>
      <x:c r="Q153" t="s">
        <x:v>198</x:v>
      </x:c>
      <x:c r="R153" t="s">
        <x:v>275</x:v>
      </x:c>
      <x:c r="S153" t="s">
        <x:v>174</x:v>
      </x:c>
      <x:c r="T153" t="s">
        <x:v>175</x:v>
      </x:c>
      <x:c r="U153" t="s">
        <x:v>407</x:v>
      </x:c>
      <x:c r="W153" t="str">
        <x:v>24-small</x:v>
      </x:c>
    </x:row>
    <x:row r="154">
      <x:c r="A154" t="s">
        <x:v>31</x:v>
      </x:c>
      <x:c r="B154" t="s">
        <x:v>114</x:v>
      </x:c>
      <x:c r="C154" t="s">
        <x:v>211</x:v>
      </x:c>
      <x:c r="D154" t="s">
        <x:v>115</x:v>
      </x:c>
      <x:c r="E154" t="s">
        <x:v>117</x:v>
      </x:c>
      <x:c r="F154" t="s">
        <x:v>194</x:v>
      </x:c>
      <x:c r="G154" t="s">
        <x:v>507</x:v>
      </x:c>
      <x:c r="H154" t="s">
        <x:v>274</x:v>
      </x:c>
      <x:c r="I154">
        <x:v>162.36</x:v>
      </x:c>
      <x:c r="J154">
        <x:v>32.47</x:v>
      </x:c>
      <x:c r="K154" t="n">
        <x:f>IF(J154="","",IF(J154&lt;10,'Price Rules'!$B$5,IF(J154&lt;=50,'Price Rules'!$B$6,'Price Rules'!$B$7)))</x:f>
        <x:v>4</x:v>
      </x:c>
      <x:c r="L154">
        <x:f t="shared" si="2"/>
        <x:v>130</x:v>
      </x:c>
      <x:c r="M154" t="s">
        <x:v>508</x:v>
      </x:c>
      <x:c r="N154" t="s">
        <x:v>171</x:v>
      </x:c>
      <x:c r="O154" t="str">
        <x:v>Ready Stock</x:v>
      </x:c>
      <x:c r="P154">
        <x:v>195</x:v>
      </x:c>
      <x:c r="Q154" t="s">
        <x:v>198</x:v>
      </x:c>
      <x:c r="R154" t="s">
        <x:v>275</x:v>
      </x:c>
      <x:c r="S154" t="s">
        <x:v>174</x:v>
      </x:c>
      <x:c r="T154" t="s">
        <x:v>175</x:v>
      </x:c>
      <x:c r="U154" t="s">
        <x:v>407</x:v>
      </x:c>
      <x:c r="W154" t="str">
        <x:v>30-inch</x:v>
      </x:c>
    </x:row>
    <x:row r="155">
      <x:c r="A155" t="s">
        <x:v>31</x:v>
      </x:c>
      <x:c r="B155" t="s">
        <x:v>114</x:v>
      </x:c>
      <x:c r="C155" t="s">
        <x:v>219</x:v>
      </x:c>
      <x:c r="D155" t="s">
        <x:v>115</x:v>
      </x:c>
      <x:c r="E155" t="s">
        <x:v>117</x:v>
      </x:c>
      <x:c r="F155" t="s">
        <x:v>194</x:v>
      </x:c>
      <x:c r="G155" t="s">
        <x:v>509</x:v>
      </x:c>
      <x:c r="H155" t="s">
        <x:v>274</x:v>
      </x:c>
      <x:c r="I155">
        <x:v>209.75</x:v>
      </x:c>
      <x:c r="J155">
        <x:v>41.95</x:v>
      </x:c>
      <x:c r="K155" t="n">
        <x:f>IF(J155="","",IF(J155&lt;10,'Price Rules'!$B$5,IF(J155&lt;=50,'Price Rules'!$B$6,'Price Rules'!$B$7)))</x:f>
        <x:v>4</x:v>
      </x:c>
      <x:c r="L155">
        <x:f t="shared" si="2"/>
        <x:v>168</x:v>
      </x:c>
      <x:c r="M155" t="s">
        <x:v>510</x:v>
      </x:c>
      <x:c r="N155" t="s">
        <x:v>171</x:v>
      </x:c>
      <x:c r="O155" t="str">
        <x:v>Ready Stock</x:v>
      </x:c>
      <x:c r="P155">
        <x:v>196</x:v>
      </x:c>
      <x:c r="Q155" t="s">
        <x:v>198</x:v>
      </x:c>
      <x:c r="R155" t="s">
        <x:v>275</x:v>
      </x:c>
      <x:c r="S155" t="s">
        <x:v>174</x:v>
      </x:c>
      <x:c r="T155" t="s">
        <x:v>175</x:v>
      </x:c>
      <x:c r="U155" t="s">
        <x:v>407</x:v>
      </x:c>
      <x:c r="W155" t="str">
        <x:v>36-inch</x:v>
      </x:c>
    </x:row>
    <x:row r="156">
      <x:c r="A156" t="s">
        <x:v>31</x:v>
      </x:c>
      <x:c r="B156" t="s">
        <x:v>114</x:v>
      </x:c>
      <x:c r="C156" t="s">
        <x:v>223</x:v>
      </x:c>
      <x:c r="D156" t="s">
        <x:v>115</x:v>
      </x:c>
      <x:c r="E156" t="s">
        <x:v>117</x:v>
      </x:c>
      <x:c r="F156" t="s">
        <x:v>194</x:v>
      </x:c>
      <x:c r="G156" t="s">
        <x:v>511</x:v>
      </x:c>
      <x:c r="H156" t="s">
        <x:v>274</x:v>
      </x:c>
      <x:c r="I156">
        <x:v>266.75</x:v>
      </x:c>
      <x:c r="J156">
        <x:v>53.35</x:v>
      </x:c>
      <x:c r="K156" t="n">
        <x:f>IF(J156="","",IF(J156&lt;10,'Price Rules'!$B$5,IF(J156&lt;=50,'Price Rules'!$B$6,'Price Rules'!$B$7)))</x:f>
        <x:v>3.5</x:v>
      </x:c>
      <x:c r="L156">
        <x:f t="shared" si="2"/>
        <x:v>187</x:v>
      </x:c>
      <x:c r="M156" t="s">
        <x:v>512</x:v>
      </x:c>
      <x:c r="N156" t="s">
        <x:v>171</x:v>
      </x:c>
      <x:c r="O156" t="str">
        <x:v>Ready Stock</x:v>
      </x:c>
      <x:c r="P156">
        <x:v>197</x:v>
      </x:c>
      <x:c r="Q156" t="s">
        <x:v>198</x:v>
      </x:c>
      <x:c r="R156" t="s">
        <x:v>275</x:v>
      </x:c>
      <x:c r="S156" t="s">
        <x:v>174</x:v>
      </x:c>
      <x:c r="T156" t="s">
        <x:v>175</x:v>
      </x:c>
      <x:c r="U156" t="s">
        <x:v>407</x:v>
      </x:c>
      <x:c r="W156" t="str">
        <x:v>40-inch</x:v>
      </x:c>
    </x:row>
    <x:row r="157">
      <x:c r="A157" t="s">
        <x:v>31</x:v>
      </x:c>
      <x:c r="B157" t="s">
        <x:v>114</x:v>
      </x:c>
      <x:c r="C157" t="s">
        <x:v>227</x:v>
      </x:c>
      <x:c r="D157" t="s">
        <x:v>115</x:v>
      </x:c>
      <x:c r="E157" t="s">
        <x:v>117</x:v>
      </x:c>
      <x:c r="F157" t="s">
        <x:v>194</x:v>
      </x:c>
      <x:c r="G157" t="s">
        <x:v>513</x:v>
      </x:c>
      <x:c r="H157" t="s">
        <x:v>274</x:v>
      </x:c>
      <x:c r="I157">
        <x:v>304.75</x:v>
      </x:c>
      <x:c r="J157">
        <x:v>60.95</x:v>
      </x:c>
      <x:c r="K157" t="n">
        <x:f>IF(J157="","",IF(J157&lt;10,'Price Rules'!$B$5,IF(J157&lt;=50,'Price Rules'!$B$6,'Price Rules'!$B$7)))</x:f>
        <x:v>3.5</x:v>
      </x:c>
      <x:c r="L157">
        <x:f t="shared" si="2"/>
        <x:v>213</x:v>
      </x:c>
      <x:c r="M157" t="s">
        <x:v>514</x:v>
      </x:c>
      <x:c r="N157" t="s">
        <x:v>171</x:v>
      </x:c>
      <x:c r="O157" t="str">
        <x:v>Ready Stock</x:v>
      </x:c>
      <x:c r="P157">
        <x:v>198</x:v>
      </x:c>
      <x:c r="Q157" t="s">
        <x:v>198</x:v>
      </x:c>
      <x:c r="R157" t="s">
        <x:v>275</x:v>
      </x:c>
      <x:c r="S157" t="s">
        <x:v>174</x:v>
      </x:c>
      <x:c r="T157" t="s">
        <x:v>175</x:v>
      </x:c>
      <x:c r="U157" t="s">
        <x:v>407</x:v>
      </x:c>
      <x:c r="W157" t="str">
        <x:v>48-inch</x:v>
      </x:c>
    </x:row>
    <x:row r="158">
      <x:c r="A158" t="s">
        <x:v>31</x:v>
      </x:c>
      <x:c r="B158" t="s">
        <x:v>118</x:v>
      </x:c>
      <x:c r="C158" t="s">
        <x:v>207</x:v>
      </x:c>
      <x:c r="D158" t="s">
        <x:v>119</x:v>
      </x:c>
      <x:c r="E158" t="s">
        <x:v>121</x:v>
      </x:c>
      <x:c r="F158" t="s">
        <x:v>194</x:v>
      </x:c>
      <x:c r="G158" t="s">
        <x:v>515</x:v>
      </x:c>
      <x:c r="H158" t="s">
        <x:v>274</x:v>
      </x:c>
      <x:c r="I158">
        <x:v>95.48</x:v>
      </x:c>
      <x:c r="J158">
        <x:v>19.1</x:v>
      </x:c>
      <x:c r="K158" t="n">
        <x:f>IF(J158="","",IF(J158&lt;10,'Price Rules'!$B$5,IF(J158&lt;=50,'Price Rules'!$B$6,'Price Rules'!$B$7)))</x:f>
        <x:v>4</x:v>
      </x:c>
      <x:c r="L158">
        <x:f t="shared" si="2"/>
        <x:v>76</x:v>
      </x:c>
      <x:c r="M158" t="s">
        <x:v>120</x:v>
      </x:c>
      <x:c r="N158" t="s">
        <x:v>171</x:v>
      </x:c>
      <x:c r="O158" t="str">
        <x:v>Ready Stock</x:v>
      </x:c>
      <x:c r="P158">
        <x:v>201</x:v>
      </x:c>
      <x:c r="Q158" t="s">
        <x:v>198</x:v>
      </x:c>
      <x:c r="R158" t="s">
        <x:v>233</x:v>
      </x:c>
      <x:c r="S158" t="s">
        <x:v>174</x:v>
      </x:c>
      <x:c r="T158" t="s">
        <x:v>175</x:v>
      </x:c>
      <x:c r="U158" t="s">
        <x:v>407</x:v>
      </x:c>
      <x:c r="W158" t="str">
        <x:v>24-small</x:v>
      </x:c>
    </x:row>
    <x:row r="159">
      <x:c r="A159" t="s">
        <x:v>31</x:v>
      </x:c>
      <x:c r="B159" t="s">
        <x:v>118</x:v>
      </x:c>
      <x:c r="C159" t="s">
        <x:v>211</x:v>
      </x:c>
      <x:c r="D159" t="s">
        <x:v>119</x:v>
      </x:c>
      <x:c r="E159" t="s">
        <x:v>121</x:v>
      </x:c>
      <x:c r="F159" t="s">
        <x:v>194</x:v>
      </x:c>
      <x:c r="G159" t="s">
        <x:v>516</x:v>
      </x:c>
      <x:c r="H159" t="s">
        <x:v>274</x:v>
      </x:c>
      <x:c r="I159">
        <x:v>166.05</x:v>
      </x:c>
      <x:c r="J159">
        <x:v>33.21</x:v>
      </x:c>
      <x:c r="K159" t="n">
        <x:f>IF(J159="","",IF(J159&lt;10,'Price Rules'!$B$5,IF(J159&lt;=50,'Price Rules'!$B$6,'Price Rules'!$B$7)))</x:f>
        <x:v>4</x:v>
      </x:c>
      <x:c r="L159">
        <x:f t="shared" si="2"/>
        <x:v>133</x:v>
      </x:c>
      <x:c r="M159" t="s">
        <x:v>517</x:v>
      </x:c>
      <x:c r="N159" t="s">
        <x:v>171</x:v>
      </x:c>
      <x:c r="O159" t="str">
        <x:v>Ready Stock</x:v>
      </x:c>
      <x:c r="P159">
        <x:v>202</x:v>
      </x:c>
      <x:c r="Q159" t="s">
        <x:v>198</x:v>
      </x:c>
      <x:c r="R159" t="s">
        <x:v>233</x:v>
      </x:c>
      <x:c r="S159" t="s">
        <x:v>174</x:v>
      </x:c>
      <x:c r="T159" t="s">
        <x:v>175</x:v>
      </x:c>
      <x:c r="U159" t="s">
        <x:v>407</x:v>
      </x:c>
      <x:c r="W159" t="str">
        <x:v>30-inch</x:v>
      </x:c>
    </x:row>
    <x:row r="160">
      <x:c r="A160" t="s">
        <x:v>31</x:v>
      </x:c>
      <x:c r="B160" t="s">
        <x:v>118</x:v>
      </x:c>
      <x:c r="C160" t="s">
        <x:v>219</x:v>
      </x:c>
      <x:c r="D160" t="s">
        <x:v>119</x:v>
      </x:c>
      <x:c r="E160" t="s">
        <x:v>121</x:v>
      </x:c>
      <x:c r="F160" t="s">
        <x:v>194</x:v>
      </x:c>
      <x:c r="G160" t="s">
        <x:v>518</x:v>
      </x:c>
      <x:c r="H160" t="s">
        <x:v>274</x:v>
      </x:c>
      <x:c r="I160">
        <x:v>184.1</x:v>
      </x:c>
      <x:c r="J160">
        <x:v>36.82</x:v>
      </x:c>
      <x:c r="K160" t="n">
        <x:f>IF(J160="","",IF(J160&lt;10,'Price Rules'!$B$5,IF(J160&lt;=50,'Price Rules'!$B$6,'Price Rules'!$B$7)))</x:f>
        <x:v>4</x:v>
      </x:c>
      <x:c r="L160">
        <x:f t="shared" si="2"/>
        <x:v>147</x:v>
      </x:c>
      <x:c r="M160" t="s">
        <x:v>519</x:v>
      </x:c>
      <x:c r="N160" t="s">
        <x:v>171</x:v>
      </x:c>
      <x:c r="O160" t="str">
        <x:v>Ready Stock</x:v>
      </x:c>
      <x:c r="P160">
        <x:v>203</x:v>
      </x:c>
      <x:c r="Q160" t="s">
        <x:v>198</x:v>
      </x:c>
      <x:c r="R160" t="s">
        <x:v>233</x:v>
      </x:c>
      <x:c r="S160" t="s">
        <x:v>174</x:v>
      </x:c>
      <x:c r="T160" t="s">
        <x:v>175</x:v>
      </x:c>
      <x:c r="U160" t="s">
        <x:v>407</x:v>
      </x:c>
      <x:c r="W160" t="str">
        <x:v>36-inch</x:v>
      </x:c>
    </x:row>
    <x:row r="161">
      <x:c r="A161" t="s">
        <x:v>31</x:v>
      </x:c>
      <x:c r="B161" t="s">
        <x:v>118</x:v>
      </x:c>
      <x:c r="C161" t="s">
        <x:v>223</x:v>
      </x:c>
      <x:c r="D161" t="s">
        <x:v>119</x:v>
      </x:c>
      <x:c r="E161" t="s">
        <x:v>121</x:v>
      </x:c>
      <x:c r="F161" t="s">
        <x:v>194</x:v>
      </x:c>
      <x:c r="G161" t="s">
        <x:v>520</x:v>
      </x:c>
      <x:c r="H161" t="s">
        <x:v>274</x:v>
      </x:c>
      <x:c r="I161">
        <x:v>234.26</x:v>
      </x:c>
      <x:c r="J161">
        <x:v>46.85</x:v>
      </x:c>
      <x:c r="K161" t="n">
        <x:f>IF(J161="","",IF(J161&lt;10,'Price Rules'!$B$5,IF(J161&lt;=50,'Price Rules'!$B$6,'Price Rules'!$B$7)))</x:f>
        <x:v>4</x:v>
      </x:c>
      <x:c r="L161">
        <x:f t="shared" si="2"/>
        <x:v>187</x:v>
      </x:c>
      <x:c r="M161" t="s">
        <x:v>521</x:v>
      </x:c>
      <x:c r="N161" t="s">
        <x:v>171</x:v>
      </x:c>
      <x:c r="O161" t="str">
        <x:v>Ready Stock</x:v>
      </x:c>
      <x:c r="P161">
        <x:v>204</x:v>
      </x:c>
      <x:c r="Q161" t="s">
        <x:v>198</x:v>
      </x:c>
      <x:c r="R161" t="s">
        <x:v>233</x:v>
      </x:c>
      <x:c r="S161" t="s">
        <x:v>174</x:v>
      </x:c>
      <x:c r="T161" t="s">
        <x:v>175</x:v>
      </x:c>
      <x:c r="U161" t="s">
        <x:v>407</x:v>
      </x:c>
      <x:c r="W161" t="str">
        <x:v>40-inch</x:v>
      </x:c>
    </x:row>
    <x:row r="162">
      <x:c r="A162" t="s">
        <x:v>31</x:v>
      </x:c>
      <x:c r="B162" t="s">
        <x:v>118</x:v>
      </x:c>
      <x:c r="C162" t="s">
        <x:v>227</x:v>
      </x:c>
      <x:c r="D162" t="s">
        <x:v>119</x:v>
      </x:c>
      <x:c r="E162" t="s">
        <x:v>121</x:v>
      </x:c>
      <x:c r="F162" t="s">
        <x:v>194</x:v>
      </x:c>
      <x:c r="G162" t="s">
        <x:v>522</x:v>
      </x:c>
      <x:c r="H162" t="s">
        <x:v>274</x:v>
      </x:c>
      <x:c r="I162">
        <x:v>273.4</x:v>
      </x:c>
      <x:c r="J162">
        <x:v>54.68</x:v>
      </x:c>
      <x:c r="K162" t="n">
        <x:f>IF(J162="","",IF(J162&lt;10,'Price Rules'!$B$5,IF(J162&lt;=50,'Price Rules'!$B$6,'Price Rules'!$B$7)))</x:f>
        <x:v>3.5</x:v>
      </x:c>
      <x:c r="L162">
        <x:f t="shared" si="2"/>
        <x:v>191</x:v>
      </x:c>
      <x:c r="M162" t="s">
        <x:v>523</x:v>
      </x:c>
      <x:c r="N162" t="s">
        <x:v>171</x:v>
      </x:c>
      <x:c r="O162" t="str">
        <x:v>Ready Stock</x:v>
      </x:c>
      <x:c r="P162">
        <x:v>205</x:v>
      </x:c>
      <x:c r="Q162" t="s">
        <x:v>198</x:v>
      </x:c>
      <x:c r="R162" t="s">
        <x:v>233</x:v>
      </x:c>
      <x:c r="S162" t="s">
        <x:v>174</x:v>
      </x:c>
      <x:c r="T162" t="s">
        <x:v>175</x:v>
      </x:c>
      <x:c r="U162" t="s">
        <x:v>407</x:v>
      </x:c>
      <x:c r="W162" t="str">
        <x:v>48-inch</x:v>
      </x:c>
    </x:row>
    <x:row r="163">
      <x:c r="A163" t="s">
        <x:v>31</x:v>
      </x:c>
      <x:c r="B163" t="s">
        <x:v>122</x:v>
      </x:c>
      <x:c r="C163" t="s">
        <x:v>207</x:v>
      </x:c>
      <x:c r="D163" t="s">
        <x:v>123</x:v>
      </x:c>
      <x:c r="E163" t="s">
        <x:v>125</x:v>
      </x:c>
      <x:c r="F163" t="s">
        <x:v>194</x:v>
      </x:c>
      <x:c r="G163" t="s">
        <x:v>524</x:v>
      </x:c>
      <x:c r="H163" t="s">
        <x:v>274</x:v>
      </x:c>
      <x:c r="I163">
        <x:v>109.05</x:v>
      </x:c>
      <x:c r="J163">
        <x:v>21.81</x:v>
      </x:c>
      <x:c r="K163" t="n">
        <x:f>IF(J163="","",IF(J163&lt;10,'Price Rules'!$B$5,IF(J163&lt;=50,'Price Rules'!$B$6,'Price Rules'!$B$7)))</x:f>
        <x:v>4</x:v>
      </x:c>
      <x:c r="L163">
        <x:f t="shared" si="2"/>
        <x:v>87</x:v>
      </x:c>
      <x:c r="M163" t="s">
        <x:v>124</x:v>
      </x:c>
      <x:c r="N163" t="s">
        <x:v>171</x:v>
      </x:c>
      <x:c r="O163" t="str">
        <x:v>Ready Stock</x:v>
      </x:c>
      <x:c r="P163">
        <x:v>208</x:v>
      </x:c>
      <x:c r="Q163" t="s">
        <x:v>198</x:v>
      </x:c>
      <x:c r="R163" t="s">
        <x:v>331</x:v>
      </x:c>
      <x:c r="S163" t="s">
        <x:v>174</x:v>
      </x:c>
      <x:c r="T163" t="s">
        <x:v>175</x:v>
      </x:c>
      <x:c r="U163" t="s">
        <x:v>407</x:v>
      </x:c>
      <x:c r="W163" t="str">
        <x:v>24-small</x:v>
      </x:c>
    </x:row>
    <x:row r="164">
      <x:c r="A164" t="s">
        <x:v>31</x:v>
      </x:c>
      <x:c r="B164" t="s">
        <x:v>122</x:v>
      </x:c>
      <x:c r="C164" t="s">
        <x:v>211</x:v>
      </x:c>
      <x:c r="D164" t="s">
        <x:v>123</x:v>
      </x:c>
      <x:c r="E164" t="s">
        <x:v>125</x:v>
      </x:c>
      <x:c r="F164" t="s">
        <x:v>194</x:v>
      </x:c>
      <x:c r="G164" t="s">
        <x:v>525</x:v>
      </x:c>
      <x:c r="H164" t="s">
        <x:v>274</x:v>
      </x:c>
      <x:c r="I164">
        <x:v>155.36</x:v>
      </x:c>
      <x:c r="J164">
        <x:v>31.07</x:v>
      </x:c>
      <x:c r="K164" t="n">
        <x:f>IF(J164="","",IF(J164&lt;10,'Price Rules'!$B$5,IF(J164&lt;=50,'Price Rules'!$B$6,'Price Rules'!$B$7)))</x:f>
        <x:v>4</x:v>
      </x:c>
      <x:c r="L164">
        <x:f t="shared" si="2"/>
        <x:v>124</x:v>
      </x:c>
      <x:c r="M164" t="s">
        <x:v>526</x:v>
      </x:c>
      <x:c r="N164" t="s">
        <x:v>171</x:v>
      </x:c>
      <x:c r="O164" t="str">
        <x:v>Ready Stock</x:v>
      </x:c>
      <x:c r="P164">
        <x:v>209</x:v>
      </x:c>
      <x:c r="Q164" t="s">
        <x:v>198</x:v>
      </x:c>
      <x:c r="R164" t="s">
        <x:v>331</x:v>
      </x:c>
      <x:c r="S164" t="s">
        <x:v>174</x:v>
      </x:c>
      <x:c r="T164" t="s">
        <x:v>175</x:v>
      </x:c>
      <x:c r="U164" t="s">
        <x:v>407</x:v>
      </x:c>
      <x:c r="W164" t="str">
        <x:v>30-inch</x:v>
      </x:c>
    </x:row>
    <x:row r="165">
      <x:c r="A165" t="s">
        <x:v>31</x:v>
      </x:c>
      <x:c r="B165" t="s">
        <x:v>122</x:v>
      </x:c>
      <x:c r="C165" t="s">
        <x:v>219</x:v>
      </x:c>
      <x:c r="D165" t="s">
        <x:v>123</x:v>
      </x:c>
      <x:c r="E165" t="s">
        <x:v>125</x:v>
      </x:c>
      <x:c r="F165" t="s">
        <x:v>194</x:v>
      </x:c>
      <x:c r="G165" t="s">
        <x:v>527</x:v>
      </x:c>
      <x:c r="H165" t="s">
        <x:v>274</x:v>
      </x:c>
      <x:c r="I165">
        <x:v>199.75</x:v>
      </x:c>
      <x:c r="J165">
        <x:v>39.95</x:v>
      </x:c>
      <x:c r="K165" t="n">
        <x:f>IF(J165="","",IF(J165&lt;10,'Price Rules'!$B$5,IF(J165&lt;=50,'Price Rules'!$B$6,'Price Rules'!$B$7)))</x:f>
        <x:v>4</x:v>
      </x:c>
      <x:c r="L165">
        <x:f t="shared" si="2"/>
        <x:v>160</x:v>
      </x:c>
      <x:c r="M165" t="s">
        <x:v>528</x:v>
      </x:c>
      <x:c r="N165" t="s">
        <x:v>171</x:v>
      </x:c>
      <x:c r="O165" t="str">
        <x:v>Ready Stock</x:v>
      </x:c>
      <x:c r="P165">
        <x:v>210</x:v>
      </x:c>
      <x:c r="Q165" t="s">
        <x:v>198</x:v>
      </x:c>
      <x:c r="R165" t="s">
        <x:v>331</x:v>
      </x:c>
      <x:c r="S165" t="s">
        <x:v>174</x:v>
      </x:c>
      <x:c r="T165" t="s">
        <x:v>175</x:v>
      </x:c>
      <x:c r="U165" t="s">
        <x:v>407</x:v>
      </x:c>
      <x:c r="W165" t="str">
        <x:v>36-inch</x:v>
      </x:c>
    </x:row>
    <x:row r="166">
      <x:c r="A166" t="s">
        <x:v>31</x:v>
      </x:c>
      <x:c r="B166" t="s">
        <x:v>122</x:v>
      </x:c>
      <x:c r="C166" t="s">
        <x:v>223</x:v>
      </x:c>
      <x:c r="D166" t="s">
        <x:v>123</x:v>
      </x:c>
      <x:c r="E166" t="s">
        <x:v>125</x:v>
      </x:c>
      <x:c r="F166" t="s">
        <x:v>194</x:v>
      </x:c>
      <x:c r="G166" t="s">
        <x:v>529</x:v>
      </x:c>
      <x:c r="H166" t="s">
        <x:v>274</x:v>
      </x:c>
      <x:c r="I166">
        <x:v>252.75</x:v>
      </x:c>
      <x:c r="J166">
        <x:v>50.55</x:v>
      </x:c>
      <x:c r="K166" t="n">
        <x:f>IF(J166="","",IF(J166&lt;10,'Price Rules'!$B$5,IF(J166&lt;=50,'Price Rules'!$B$6,'Price Rules'!$B$7)))</x:f>
        <x:v>3.5</x:v>
      </x:c>
      <x:c r="L166">
        <x:f t="shared" si="2"/>
        <x:v>177</x:v>
      </x:c>
      <x:c r="M166" t="s">
        <x:v>530</x:v>
      </x:c>
      <x:c r="N166" t="s">
        <x:v>171</x:v>
      </x:c>
      <x:c r="O166" t="str">
        <x:v>Ready Stock</x:v>
      </x:c>
      <x:c r="P166">
        <x:v>211</x:v>
      </x:c>
      <x:c r="Q166" t="s">
        <x:v>198</x:v>
      </x:c>
      <x:c r="R166" t="s">
        <x:v>331</x:v>
      </x:c>
      <x:c r="S166" t="s">
        <x:v>174</x:v>
      </x:c>
      <x:c r="T166" t="s">
        <x:v>175</x:v>
      </x:c>
      <x:c r="U166" t="s">
        <x:v>407</x:v>
      </x:c>
      <x:c r="W166" t="str">
        <x:v>40-inch</x:v>
      </x:c>
    </x:row>
    <x:row r="167">
      <x:c r="A167" t="s">
        <x:v>31</x:v>
      </x:c>
      <x:c r="B167" t="s">
        <x:v>122</x:v>
      </x:c>
      <x:c r="C167" t="s">
        <x:v>227</x:v>
      </x:c>
      <x:c r="D167" t="s">
        <x:v>123</x:v>
      </x:c>
      <x:c r="E167" t="s">
        <x:v>125</x:v>
      </x:c>
      <x:c r="F167" t="s">
        <x:v>194</x:v>
      </x:c>
      <x:c r="G167" t="s">
        <x:v>531</x:v>
      </x:c>
      <x:c r="H167" t="s">
        <x:v>274</x:v>
      </x:c>
      <x:c r="I167">
        <x:v>287.75</x:v>
      </x:c>
      <x:c r="J167">
        <x:v>57.55</x:v>
      </x:c>
      <x:c r="K167" t="n">
        <x:f>IF(J167="","",IF(J167&lt;10,'Price Rules'!$B$5,IF(J167&lt;=50,'Price Rules'!$B$6,'Price Rules'!$B$7)))</x:f>
        <x:v>3.5</x:v>
      </x:c>
      <x:c r="L167">
        <x:f t="shared" si="2"/>
        <x:v>201</x:v>
      </x:c>
      <x:c r="M167" t="s">
        <x:v>532</x:v>
      </x:c>
      <x:c r="N167" t="s">
        <x:v>171</x:v>
      </x:c>
      <x:c r="O167" t="str">
        <x:v>Ready Stock</x:v>
      </x:c>
      <x:c r="P167">
        <x:v>212</x:v>
      </x:c>
      <x:c r="Q167" t="s">
        <x:v>198</x:v>
      </x:c>
      <x:c r="R167" t="s">
        <x:v>331</x:v>
      </x:c>
      <x:c r="S167" t="s">
        <x:v>174</x:v>
      </x:c>
      <x:c r="T167" t="s">
        <x:v>175</x:v>
      </x:c>
      <x:c r="U167" t="s">
        <x:v>407</x:v>
      </x:c>
      <x:c r="W167" t="str">
        <x:v>48-inch</x:v>
      </x:c>
    </x:row>
    <x:row r="168">
      <x:c r="A168" t="s">
        <x:v>28</x:v>
      </x:c>
      <x:c r="B168" t="s">
        <x:v>126</x:v>
      </x:c>
      <x:c r="C168" t="s">
        <x:v>533</x:v>
      </x:c>
      <x:c r="D168" t="s">
        <x:v>127</x:v>
      </x:c>
      <x:c r="E168" t="s">
        <x:v>129</x:v>
      </x:c>
      <x:c r="F168" t="s">
        <x:v>534</x:v>
      </x:c>
      <x:c r="G168" t="s">
        <x:v>535</x:v>
      </x:c>
      <x:c r="H168" t="s">
        <x:v>274</x:v>
      </x:c>
      <x:c r="I168">
        <x:v>14.3</x:v>
      </x:c>
      <x:c r="J168">
        <x:v>2.86</x:v>
      </x:c>
      <x:c r="K168" t="n">
        <x:f>IF(J168="","",IF(J168&lt;10,'Price Rules'!$B$5,IF(J168&lt;=50,'Price Rules'!$B$6,'Price Rules'!$B$7)))</x:f>
        <x:v>5</x:v>
      </x:c>
      <x:c r="L168">
        <x:f t="shared" si="2"/>
        <x:v>14</x:v>
      </x:c>
      <x:c r="M168" t="s">
        <x:v>536</x:v>
      </x:c>
      <x:c r="N168" t="s">
        <x:v>171</x:v>
      </x:c>
      <x:c r="O168" t="str">
        <x:v>Ready Stock</x:v>
      </x:c>
      <x:c r="P168">
        <x:v>217</x:v>
      </x:c>
      <x:c r="Q168" t="s">
        <x:v>172</x:v>
      </x:c>
      <x:c r="R168" t="s">
        <x:v>406</x:v>
      </x:c>
      <x:c r="S168" t="s">
        <x:v>174</x:v>
      </x:c>
      <x:c r="T168" t="s">
        <x:v>175</x:v>
      </x:c>
      <x:c r="U168" t="s">
        <x:v>407</x:v>
      </x:c>
      <x:c r="W168" t="str">
        <x:v>6-inch</x:v>
      </x:c>
    </x:row>
    <x:row r="169">
      <x:c r="A169" t="s">
        <x:v>28</x:v>
      </x:c>
      <x:c r="B169" t="s">
        <x:v>126</x:v>
      </x:c>
      <x:c r="C169" t="s">
        <x:v>167</x:v>
      </x:c>
      <x:c r="D169" t="s">
        <x:v>127</x:v>
      </x:c>
      <x:c r="E169" t="s">
        <x:v>129</x:v>
      </x:c>
      <x:c r="F169" t="s">
        <x:v>534</x:v>
      </x:c>
      <x:c r="G169" t="s">
        <x:v>537</x:v>
      </x:c>
      <x:c r="H169" t="s">
        <x:v>274</x:v>
      </x:c>
      <x:c r="I169">
        <x:v>17.9</x:v>
      </x:c>
      <x:c r="J169">
        <x:v>3.58</x:v>
      </x:c>
      <x:c r="K169" t="n">
        <x:f>IF(J169="","",IF(J169&lt;10,'Price Rules'!$B$5,IF(J169&lt;=50,'Price Rules'!$B$6,'Price Rules'!$B$7)))</x:f>
        <x:v>5</x:v>
      </x:c>
      <x:c r="L169">
        <x:f t="shared" si="2"/>
        <x:v>18</x:v>
      </x:c>
      <x:c r="M169" t="s">
        <x:v>538</x:v>
      </x:c>
      <x:c r="N169" t="s">
        <x:v>171</x:v>
      </x:c>
      <x:c r="O169" t="str">
        <x:v>Ready Stock</x:v>
      </x:c>
      <x:c r="P169">
        <x:v>218</x:v>
      </x:c>
      <x:c r="Q169" t="s">
        <x:v>172</x:v>
      </x:c>
      <x:c r="R169" t="s">
        <x:v>406</x:v>
      </x:c>
      <x:c r="S169" t="s">
        <x:v>174</x:v>
      </x:c>
      <x:c r="T169" t="s">
        <x:v>175</x:v>
      </x:c>
      <x:c r="U169" t="s">
        <x:v>407</x:v>
      </x:c>
      <x:c r="W169" t="str">
        <x:v>7-inch</x:v>
      </x:c>
    </x:row>
    <x:row r="170">
      <x:c r="A170" t="s">
        <x:v>28</x:v>
      </x:c>
      <x:c r="B170" t="s">
        <x:v>126</x:v>
      </x:c>
      <x:c r="C170" t="s">
        <x:v>177</x:v>
      </x:c>
      <x:c r="D170" t="s">
        <x:v>127</x:v>
      </x:c>
      <x:c r="E170" t="s">
        <x:v>129</x:v>
      </x:c>
      <x:c r="F170" t="s">
        <x:v>534</x:v>
      </x:c>
      <x:c r="G170" t="s">
        <x:v>539</x:v>
      </x:c>
      <x:c r="H170" t="s">
        <x:v>274</x:v>
      </x:c>
      <x:c r="I170">
        <x:v>19.81</x:v>
      </x:c>
      <x:c r="J170">
        <x:v>3.96</x:v>
      </x:c>
      <x:c r="K170" t="n">
        <x:f>IF(J170="","",IF(J170&lt;10,'Price Rules'!$B$5,IF(J170&lt;=50,'Price Rules'!$B$6,'Price Rules'!$B$7)))</x:f>
        <x:v>5</x:v>
      </x:c>
      <x:c r="L170">
        <x:f t="shared" si="2"/>
        <x:v>20</x:v>
      </x:c>
      <x:c r="M170" t="s">
        <x:v>540</x:v>
      </x:c>
      <x:c r="N170" t="s">
        <x:v>171</x:v>
      </x:c>
      <x:c r="O170" t="str">
        <x:v>Ready Stock</x:v>
      </x:c>
      <x:c r="P170">
        <x:v>219</x:v>
      </x:c>
      <x:c r="Q170" t="s">
        <x:v>172</x:v>
      </x:c>
      <x:c r="R170" t="s">
        <x:v>406</x:v>
      </x:c>
      <x:c r="S170" t="s">
        <x:v>174</x:v>
      </x:c>
      <x:c r="T170" t="s">
        <x:v>175</x:v>
      </x:c>
      <x:c r="U170" t="s">
        <x:v>407</x:v>
      </x:c>
      <x:c r="W170" t="str">
        <x:v>8-inch</x:v>
      </x:c>
    </x:row>
    <x:row r="171">
      <x:c r="A171" t="s">
        <x:v>28</x:v>
      </x:c>
      <x:c r="B171" t="s">
        <x:v>126</x:v>
      </x:c>
      <x:c r="C171" t="s">
        <x:v>181</x:v>
      </x:c>
      <x:c r="D171" t="s">
        <x:v>127</x:v>
      </x:c>
      <x:c r="E171" t="s">
        <x:v>129</x:v>
      </x:c>
      <x:c r="F171" t="s">
        <x:v>534</x:v>
      </x:c>
      <x:c r="G171" t="s">
        <x:v>541</x:v>
      </x:c>
      <x:c r="H171" t="s">
        <x:v>274</x:v>
      </x:c>
      <x:c r="I171">
        <x:v>26</x:v>
      </x:c>
      <x:c r="J171">
        <x:v>5.2</x:v>
      </x:c>
      <x:c r="K171" t="n">
        <x:f>IF(J171="","",IF(J171&lt;10,'Price Rules'!$B$5,IF(J171&lt;=50,'Price Rules'!$B$6,'Price Rules'!$B$7)))</x:f>
        <x:v>5</x:v>
      </x:c>
      <x:c r="L171">
        <x:f t="shared" si="2"/>
        <x:v>26</x:v>
      </x:c>
      <x:c r="M171" t="s">
        <x:v>542</x:v>
      </x:c>
      <x:c r="N171" t="s">
        <x:v>171</x:v>
      </x:c>
      <x:c r="O171" t="str">
        <x:v>Ready Stock</x:v>
      </x:c>
      <x:c r="P171">
        <x:v>220</x:v>
      </x:c>
      <x:c r="Q171" t="s">
        <x:v>172</x:v>
      </x:c>
      <x:c r="R171" t="s">
        <x:v>406</x:v>
      </x:c>
      <x:c r="S171" t="s">
        <x:v>174</x:v>
      </x:c>
      <x:c r="T171" t="s">
        <x:v>175</x:v>
      </x:c>
      <x:c r="U171" t="s">
        <x:v>407</x:v>
      </x:c>
      <x:c r="W171" t="str">
        <x:v>10-inch</x:v>
      </x:c>
    </x:row>
    <x:row r="172">
      <x:c r="A172" t="s">
        <x:v>28</x:v>
      </x:c>
      <x:c r="B172" t="s">
        <x:v>126</x:v>
      </x:c>
      <x:c r="C172" t="s">
        <x:v>543</x:v>
      </x:c>
      <x:c r="D172" t="s">
        <x:v>127</x:v>
      </x:c>
      <x:c r="E172" t="s">
        <x:v>129</x:v>
      </x:c>
      <x:c r="F172" t="s">
        <x:v>534</x:v>
      </x:c>
      <x:c r="G172" t="s">
        <x:v>544</x:v>
      </x:c>
      <x:c r="H172" t="s">
        <x:v>274</x:v>
      </x:c>
      <x:c r="I172">
        <x:v>29.82</x:v>
      </x:c>
      <x:c r="J172">
        <x:v>5.96</x:v>
      </x:c>
      <x:c r="K172" t="n">
        <x:f>IF(J172="","",IF(J172&lt;10,'Price Rules'!$B$5,IF(J172&lt;=50,'Price Rules'!$B$6,'Price Rules'!$B$7)))</x:f>
        <x:v>5</x:v>
      </x:c>
      <x:c r="L172">
        <x:f t="shared" si="2"/>
        <x:v>30</x:v>
      </x:c>
      <x:c r="M172" t="s">
        <x:v>545</x:v>
      </x:c>
      <x:c r="N172" t="s">
        <x:v>171</x:v>
      </x:c>
      <x:c r="O172" t="str">
        <x:v>Ready Stock</x:v>
      </x:c>
      <x:c r="P172">
        <x:v>221</x:v>
      </x:c>
      <x:c r="Q172" t="s">
        <x:v>172</x:v>
      </x:c>
      <x:c r="R172" t="s">
        <x:v>406</x:v>
      </x:c>
      <x:c r="S172" t="s">
        <x:v>174</x:v>
      </x:c>
      <x:c r="T172" t="s">
        <x:v>175</x:v>
      </x:c>
      <x:c r="U172" t="s">
        <x:v>407</x:v>
      </x:c>
      <x:c r="W172" t="str">
        <x:v>a4</x:v>
      </x:c>
    </x:row>
    <x:row r="173">
      <x:c r="A173" t="s">
        <x:v>28</x:v>
      </x:c>
      <x:c r="B173" t="s">
        <x:v>126</x:v>
      </x:c>
      <x:c r="C173" t="s">
        <x:v>546</x:v>
      </x:c>
      <x:c r="D173" t="s">
        <x:v>127</x:v>
      </x:c>
      <x:c r="E173" t="s">
        <x:v>129</x:v>
      </x:c>
      <x:c r="F173" t="s">
        <x:v>534</x:v>
      </x:c>
      <x:c r="G173" t="s">
        <x:v>547</x:v>
      </x:c>
      <x:c r="H173" t="s">
        <x:v>274</x:v>
      </x:c>
      <x:c r="I173">
        <x:v>38.82</x:v>
      </x:c>
      <x:c r="J173">
        <x:v>7.76</x:v>
      </x:c>
      <x:c r="K173" t="n">
        <x:f>IF(J173="","",IF(J173&lt;10,'Price Rules'!$B$5,IF(J173&lt;=50,'Price Rules'!$B$6,'Price Rules'!$B$7)))</x:f>
        <x:v>5</x:v>
      </x:c>
      <x:c r="L173">
        <x:f t="shared" si="2"/>
        <x:v>39</x:v>
      </x:c>
      <x:c r="M173" t="s">
        <x:v>548</x:v>
      </x:c>
      <x:c r="N173" t="s">
        <x:v>171</x:v>
      </x:c>
      <x:c r="O173" t="str">
        <x:v>Ready Stock</x:v>
      </x:c>
      <x:c r="P173">
        <x:v>222</x:v>
      </x:c>
      <x:c r="Q173" t="s">
        <x:v>172</x:v>
      </x:c>
      <x:c r="R173" t="s">
        <x:v>406</x:v>
      </x:c>
      <x:c r="S173" t="s">
        <x:v>174</x:v>
      </x:c>
      <x:c r="T173" t="s">
        <x:v>175</x:v>
      </x:c>
      <x:c r="U173" t="s">
        <x:v>407</x:v>
      </x:c>
      <x:c r="W173" t="str">
        <x:v>a3</x:v>
      </x:c>
    </x:row>
    <x:row r="174">
      <x:c r="A174" t="s">
        <x:v>28</x:v>
      </x:c>
      <x:c r="B174" t="s">
        <x:v>130</x:v>
      </x:c>
      <x:c r="C174" t="s">
        <x:v>533</x:v>
      </x:c>
      <x:c r="D174" t="s">
        <x:v>131</x:v>
      </x:c>
      <x:c r="E174" t="s">
        <x:v>133</x:v>
      </x:c>
      <x:c r="F174" t="s">
        <x:v>534</x:v>
      </x:c>
      <x:c r="G174" t="s">
        <x:v>549</x:v>
      </x:c>
      <x:c r="H174" t="s">
        <x:v>274</x:v>
      </x:c>
      <x:c r="I174">
        <x:v>14.3</x:v>
      </x:c>
      <x:c r="J174">
        <x:v>2.86</x:v>
      </x:c>
      <x:c r="K174" t="n">
        <x:f>IF(J174="","",IF(J174&lt;10,'Price Rules'!$B$5,IF(J174&lt;=50,'Price Rules'!$B$6,'Price Rules'!$B$7)))</x:f>
        <x:v>5</x:v>
      </x:c>
      <x:c r="L174">
        <x:f t="shared" si="2"/>
        <x:v>14</x:v>
      </x:c>
      <x:c r="M174" t="s">
        <x:v>550</x:v>
      </x:c>
      <x:c r="N174" t="s">
        <x:v>171</x:v>
      </x:c>
      <x:c r="O174" t="str">
        <x:v>Ready Stock</x:v>
      </x:c>
      <x:c r="P174">
        <x:v>225</x:v>
      </x:c>
      <x:c r="Q174" t="s">
        <x:v>172</x:v>
      </x:c>
      <x:c r="R174" t="s">
        <x:v>406</x:v>
      </x:c>
      <x:c r="S174" t="s">
        <x:v>174</x:v>
      </x:c>
      <x:c r="T174" t="s">
        <x:v>175</x:v>
      </x:c>
      <x:c r="U174" t="s">
        <x:v>407</x:v>
      </x:c>
      <x:c r="W174" t="str">
        <x:v>6-inch</x:v>
      </x:c>
    </x:row>
    <x:row r="175">
      <x:c r="A175" t="s">
        <x:v>28</x:v>
      </x:c>
      <x:c r="B175" t="s">
        <x:v>130</x:v>
      </x:c>
      <x:c r="C175" t="s">
        <x:v>167</x:v>
      </x:c>
      <x:c r="D175" t="s">
        <x:v>131</x:v>
      </x:c>
      <x:c r="E175" t="s">
        <x:v>133</x:v>
      </x:c>
      <x:c r="F175" t="s">
        <x:v>534</x:v>
      </x:c>
      <x:c r="G175" t="s">
        <x:v>551</x:v>
      </x:c>
      <x:c r="H175" t="s">
        <x:v>274</x:v>
      </x:c>
      <x:c r="I175">
        <x:v>17.9</x:v>
      </x:c>
      <x:c r="J175">
        <x:v>3.58</x:v>
      </x:c>
      <x:c r="K175" t="n">
        <x:f>IF(J175="","",IF(J175&lt;10,'Price Rules'!$B$5,IF(J175&lt;=50,'Price Rules'!$B$6,'Price Rules'!$B$7)))</x:f>
        <x:v>5</x:v>
      </x:c>
      <x:c r="L175">
        <x:f t="shared" si="2"/>
        <x:v>18</x:v>
      </x:c>
      <x:c r="M175" t="s">
        <x:v>552</x:v>
      </x:c>
      <x:c r="N175" t="s">
        <x:v>171</x:v>
      </x:c>
      <x:c r="O175" t="str">
        <x:v>Ready Stock</x:v>
      </x:c>
      <x:c r="P175">
        <x:v>226</x:v>
      </x:c>
      <x:c r="Q175" t="s">
        <x:v>172</x:v>
      </x:c>
      <x:c r="R175" t="s">
        <x:v>406</x:v>
      </x:c>
      <x:c r="S175" t="s">
        <x:v>174</x:v>
      </x:c>
      <x:c r="T175" t="s">
        <x:v>175</x:v>
      </x:c>
      <x:c r="U175" t="s">
        <x:v>407</x:v>
      </x:c>
      <x:c r="W175" t="str">
        <x:v>7-inch</x:v>
      </x:c>
    </x:row>
    <x:row r="176">
      <x:c r="A176" t="s">
        <x:v>28</x:v>
      </x:c>
      <x:c r="B176" t="s">
        <x:v>130</x:v>
      </x:c>
      <x:c r="C176" t="s">
        <x:v>177</x:v>
      </x:c>
      <x:c r="D176" t="s">
        <x:v>131</x:v>
      </x:c>
      <x:c r="E176" t="s">
        <x:v>133</x:v>
      </x:c>
      <x:c r="F176" t="s">
        <x:v>534</x:v>
      </x:c>
      <x:c r="G176" t="s">
        <x:v>553</x:v>
      </x:c>
      <x:c r="H176" t="s">
        <x:v>274</x:v>
      </x:c>
      <x:c r="I176">
        <x:v>19.81</x:v>
      </x:c>
      <x:c r="J176">
        <x:v>3.96</x:v>
      </x:c>
      <x:c r="K176" t="n">
        <x:f>IF(J176="","",IF(J176&lt;10,'Price Rules'!$B$5,IF(J176&lt;=50,'Price Rules'!$B$6,'Price Rules'!$B$7)))</x:f>
        <x:v>5</x:v>
      </x:c>
      <x:c r="L176">
        <x:f t="shared" si="2"/>
        <x:v>20</x:v>
      </x:c>
      <x:c r="M176" t="s">
        <x:v>554</x:v>
      </x:c>
      <x:c r="N176" t="s">
        <x:v>171</x:v>
      </x:c>
      <x:c r="O176" t="str">
        <x:v>Ready Stock</x:v>
      </x:c>
      <x:c r="P176">
        <x:v>227</x:v>
      </x:c>
      <x:c r="Q176" t="s">
        <x:v>172</x:v>
      </x:c>
      <x:c r="R176" t="s">
        <x:v>406</x:v>
      </x:c>
      <x:c r="S176" t="s">
        <x:v>174</x:v>
      </x:c>
      <x:c r="T176" t="s">
        <x:v>175</x:v>
      </x:c>
      <x:c r="U176" t="s">
        <x:v>407</x:v>
      </x:c>
      <x:c r="W176" t="str">
        <x:v>8-inch</x:v>
      </x:c>
    </x:row>
    <x:row r="177">
      <x:c r="A177" t="s">
        <x:v>28</x:v>
      </x:c>
      <x:c r="B177" t="s">
        <x:v>130</x:v>
      </x:c>
      <x:c r="C177" t="s">
        <x:v>181</x:v>
      </x:c>
      <x:c r="D177" t="s">
        <x:v>131</x:v>
      </x:c>
      <x:c r="E177" t="s">
        <x:v>133</x:v>
      </x:c>
      <x:c r="F177" t="s">
        <x:v>534</x:v>
      </x:c>
      <x:c r="G177" t="s">
        <x:v>555</x:v>
      </x:c>
      <x:c r="H177" t="s">
        <x:v>274</x:v>
      </x:c>
      <x:c r="I177">
        <x:v>26</x:v>
      </x:c>
      <x:c r="J177">
        <x:v>5.2</x:v>
      </x:c>
      <x:c r="K177" t="n">
        <x:f>IF(J177="","",IF(J177&lt;10,'Price Rules'!$B$5,IF(J177&lt;=50,'Price Rules'!$B$6,'Price Rules'!$B$7)))</x:f>
        <x:v>5</x:v>
      </x:c>
      <x:c r="L177">
        <x:f t="shared" si="2"/>
        <x:v>26</x:v>
      </x:c>
      <x:c r="M177" t="s">
        <x:v>556</x:v>
      </x:c>
      <x:c r="N177" t="s">
        <x:v>171</x:v>
      </x:c>
      <x:c r="O177" t="str">
        <x:v>Ready Stock</x:v>
      </x:c>
      <x:c r="P177">
        <x:v>228</x:v>
      </x:c>
      <x:c r="Q177" t="s">
        <x:v>172</x:v>
      </x:c>
      <x:c r="R177" t="s">
        <x:v>406</x:v>
      </x:c>
      <x:c r="S177" t="s">
        <x:v>174</x:v>
      </x:c>
      <x:c r="T177" t="s">
        <x:v>175</x:v>
      </x:c>
      <x:c r="U177" t="s">
        <x:v>407</x:v>
      </x:c>
      <x:c r="W177" t="str">
        <x:v>10-inch</x:v>
      </x:c>
    </x:row>
    <x:row r="178">
      <x:c r="A178" t="s">
        <x:v>28</x:v>
      </x:c>
      <x:c r="B178" t="s">
        <x:v>130</x:v>
      </x:c>
      <x:c r="C178" t="s">
        <x:v>543</x:v>
      </x:c>
      <x:c r="D178" t="s">
        <x:v>131</x:v>
      </x:c>
      <x:c r="E178" t="s">
        <x:v>133</x:v>
      </x:c>
      <x:c r="F178" t="s">
        <x:v>534</x:v>
      </x:c>
      <x:c r="G178" t="s">
        <x:v>557</x:v>
      </x:c>
      <x:c r="H178" t="s">
        <x:v>274</x:v>
      </x:c>
      <x:c r="I178">
        <x:v>29.82</x:v>
      </x:c>
      <x:c r="J178">
        <x:v>5.96</x:v>
      </x:c>
      <x:c r="K178" t="n">
        <x:f>IF(J178="","",IF(J178&lt;10,'Price Rules'!$B$5,IF(J178&lt;=50,'Price Rules'!$B$6,'Price Rules'!$B$7)))</x:f>
        <x:v>5</x:v>
      </x:c>
      <x:c r="L178">
        <x:f t="shared" si="2"/>
        <x:v>30</x:v>
      </x:c>
      <x:c r="M178" t="s">
        <x:v>558</x:v>
      </x:c>
      <x:c r="N178" t="s">
        <x:v>171</x:v>
      </x:c>
      <x:c r="O178" t="str">
        <x:v>Ready Stock</x:v>
      </x:c>
      <x:c r="P178">
        <x:v>229</x:v>
      </x:c>
      <x:c r="Q178" t="s">
        <x:v>172</x:v>
      </x:c>
      <x:c r="R178" t="s">
        <x:v>406</x:v>
      </x:c>
      <x:c r="S178" t="s">
        <x:v>174</x:v>
      </x:c>
      <x:c r="T178" t="s">
        <x:v>175</x:v>
      </x:c>
      <x:c r="U178" t="s">
        <x:v>407</x:v>
      </x:c>
      <x:c r="W178" t="str">
        <x:v>a4</x:v>
      </x:c>
    </x:row>
    <x:row r="179">
      <x:c r="A179" t="s">
        <x:v>28</x:v>
      </x:c>
      <x:c r="B179" t="s">
        <x:v>130</x:v>
      </x:c>
      <x:c r="C179" t="s">
        <x:v>546</x:v>
      </x:c>
      <x:c r="D179" t="s">
        <x:v>131</x:v>
      </x:c>
      <x:c r="E179" t="s">
        <x:v>133</x:v>
      </x:c>
      <x:c r="F179" t="s">
        <x:v>534</x:v>
      </x:c>
      <x:c r="G179" t="s">
        <x:v>559</x:v>
      </x:c>
      <x:c r="H179" t="s">
        <x:v>274</x:v>
      </x:c>
      <x:c r="I179">
        <x:v>38.82</x:v>
      </x:c>
      <x:c r="J179">
        <x:v>7.76</x:v>
      </x:c>
      <x:c r="K179" t="n">
        <x:f>IF(J179="","",IF(J179&lt;10,'Price Rules'!$B$5,IF(J179&lt;=50,'Price Rules'!$B$6,'Price Rules'!$B$7)))</x:f>
        <x:v>5</x:v>
      </x:c>
      <x:c r="L179">
        <x:f t="shared" si="2"/>
        <x:v>39</x:v>
      </x:c>
      <x:c r="M179" t="s">
        <x:v>560</x:v>
      </x:c>
      <x:c r="N179" t="s">
        <x:v>171</x:v>
      </x:c>
      <x:c r="O179" t="str">
        <x:v>Ready Stock</x:v>
      </x:c>
      <x:c r="P179">
        <x:v>230</x:v>
      </x:c>
      <x:c r="Q179" t="s">
        <x:v>172</x:v>
      </x:c>
      <x:c r="R179" t="s">
        <x:v>406</x:v>
      </x:c>
      <x:c r="S179" t="s">
        <x:v>174</x:v>
      </x:c>
      <x:c r="T179" t="s">
        <x:v>175</x:v>
      </x:c>
      <x:c r="U179" t="s">
        <x:v>407</x:v>
      </x:c>
      <x:c r="W179" t="str">
        <x:v>a3</x:v>
      </x:c>
    </x:row>
    <x:row r="180">
      <x:c r="A180" t="s">
        <x:v>28</x:v>
      </x:c>
      <x:c r="B180" t="s">
        <x:v>134</x:v>
      </x:c>
      <x:c r="C180" t="s">
        <x:v>533</x:v>
      </x:c>
      <x:c r="D180" t="s">
        <x:v>135</x:v>
      </x:c>
      <x:c r="E180" t="s">
        <x:v>137</x:v>
      </x:c>
      <x:c r="F180" t="s">
        <x:v>534</x:v>
      </x:c>
      <x:c r="G180" t="s">
        <x:v>561</x:v>
      </x:c>
      <x:c r="H180" t="s">
        <x:v>274</x:v>
      </x:c>
      <x:c r="I180">
        <x:v>13.4</x:v>
      </x:c>
      <x:c r="J180">
        <x:v>2.68</x:v>
      </x:c>
      <x:c r="K180" t="n">
        <x:f>IF(J180="","",IF(J180&lt;10,'Price Rules'!$B$5,IF(J180&lt;=50,'Price Rules'!$B$6,'Price Rules'!$B$7)))</x:f>
        <x:v>5</x:v>
      </x:c>
      <x:c r="L180">
        <x:f t="shared" si="2"/>
        <x:v>13</x:v>
      </x:c>
      <x:c r="M180" t="s">
        <x:v>562</x:v>
      </x:c>
      <x:c r="N180" t="s">
        <x:v>171</x:v>
      </x:c>
      <x:c r="O180" t="str">
        <x:v>Ready Stock</x:v>
      </x:c>
      <x:c r="P180">
        <x:v>233</x:v>
      </x:c>
      <x:c r="Q180" t="s">
        <x:v>172</x:v>
      </x:c>
      <x:c r="R180" t="s">
        <x:v>406</x:v>
      </x:c>
      <x:c r="S180" t="s">
        <x:v>174</x:v>
      </x:c>
      <x:c r="T180" t="s">
        <x:v>175</x:v>
      </x:c>
      <x:c r="U180" t="s">
        <x:v>407</x:v>
      </x:c>
      <x:c r="W180" t="str">
        <x:v>6-inch</x:v>
      </x:c>
    </x:row>
    <x:row r="181">
      <x:c r="A181" t="s">
        <x:v>28</x:v>
      </x:c>
      <x:c r="B181" t="s">
        <x:v>134</x:v>
      </x:c>
      <x:c r="C181" t="s">
        <x:v>167</x:v>
      </x:c>
      <x:c r="D181" t="s">
        <x:v>135</x:v>
      </x:c>
      <x:c r="E181" t="s">
        <x:v>137</x:v>
      </x:c>
      <x:c r="F181" t="s">
        <x:v>534</x:v>
      </x:c>
      <x:c r="G181" t="s">
        <x:v>563</x:v>
      </x:c>
      <x:c r="H181" t="s">
        <x:v>274</x:v>
      </x:c>
      <x:c r="I181">
        <x:v>14.3</x:v>
      </x:c>
      <x:c r="J181">
        <x:v>2.86</x:v>
      </x:c>
      <x:c r="K181" t="n">
        <x:f>IF(J181="","",IF(J181&lt;10,'Price Rules'!$B$5,IF(J181&lt;=50,'Price Rules'!$B$6,'Price Rules'!$B$7)))</x:f>
        <x:v>5</x:v>
      </x:c>
      <x:c r="L181">
        <x:f t="shared" si="2"/>
        <x:v>14</x:v>
      </x:c>
      <x:c r="M181" t="s">
        <x:v>564</x:v>
      </x:c>
      <x:c r="N181" t="s">
        <x:v>171</x:v>
      </x:c>
      <x:c r="O181" t="str">
        <x:v>Ready Stock</x:v>
      </x:c>
      <x:c r="P181">
        <x:v>234</x:v>
      </x:c>
      <x:c r="Q181" t="s">
        <x:v>172</x:v>
      </x:c>
      <x:c r="R181" t="s">
        <x:v>406</x:v>
      </x:c>
      <x:c r="S181" t="s">
        <x:v>174</x:v>
      </x:c>
      <x:c r="T181" t="s">
        <x:v>175</x:v>
      </x:c>
      <x:c r="U181" t="s">
        <x:v>407</x:v>
      </x:c>
      <x:c r="W181" t="str">
        <x:v>7-inch</x:v>
      </x:c>
    </x:row>
    <x:row r="182">
      <x:c r="A182" t="s">
        <x:v>28</x:v>
      </x:c>
      <x:c r="B182" t="s">
        <x:v>134</x:v>
      </x:c>
      <x:c r="C182" t="s">
        <x:v>177</x:v>
      </x:c>
      <x:c r="D182" t="s">
        <x:v>135</x:v>
      </x:c>
      <x:c r="E182" t="s">
        <x:v>137</x:v>
      </x:c>
      <x:c r="F182" t="s">
        <x:v>534</x:v>
      </x:c>
      <x:c r="G182" t="s">
        <x:v>565</x:v>
      </x:c>
      <x:c r="H182" t="s">
        <x:v>274</x:v>
      </x:c>
      <x:c r="I182">
        <x:v>17.9</x:v>
      </x:c>
      <x:c r="J182">
        <x:v>3.58</x:v>
      </x:c>
      <x:c r="K182" t="n">
        <x:f>IF(J182="","",IF(J182&lt;10,'Price Rules'!$B$5,IF(J182&lt;=50,'Price Rules'!$B$6,'Price Rules'!$B$7)))</x:f>
        <x:v>5</x:v>
      </x:c>
      <x:c r="L182">
        <x:f t="shared" si="2"/>
        <x:v>18</x:v>
      </x:c>
      <x:c r="M182" t="s">
        <x:v>566</x:v>
      </x:c>
      <x:c r="N182" t="s">
        <x:v>171</x:v>
      </x:c>
      <x:c r="O182" t="str">
        <x:v>Ready Stock</x:v>
      </x:c>
      <x:c r="P182">
        <x:v>235</x:v>
      </x:c>
      <x:c r="Q182" t="s">
        <x:v>172</x:v>
      </x:c>
      <x:c r="R182" t="s">
        <x:v>406</x:v>
      </x:c>
      <x:c r="S182" t="s">
        <x:v>174</x:v>
      </x:c>
      <x:c r="T182" t="s">
        <x:v>175</x:v>
      </x:c>
      <x:c r="U182" t="s">
        <x:v>407</x:v>
      </x:c>
      <x:c r="W182" t="str">
        <x:v>8-inch</x:v>
      </x:c>
    </x:row>
    <x:row r="183">
      <x:c r="A183" t="s">
        <x:v>28</x:v>
      </x:c>
      <x:c r="B183" t="s">
        <x:v>134</x:v>
      </x:c>
      <x:c r="C183" t="s">
        <x:v>181</x:v>
      </x:c>
      <x:c r="D183" t="s">
        <x:v>135</x:v>
      </x:c>
      <x:c r="E183" t="s">
        <x:v>137</x:v>
      </x:c>
      <x:c r="F183" t="s">
        <x:v>534</x:v>
      </x:c>
      <x:c r="G183" t="s">
        <x:v>567</x:v>
      </x:c>
      <x:c r="H183" t="s">
        <x:v>274</x:v>
      </x:c>
      <x:c r="I183">
        <x:v>26</x:v>
      </x:c>
      <x:c r="J183">
        <x:v>5.2</x:v>
      </x:c>
      <x:c r="K183" t="n">
        <x:f>IF(J183="","",IF(J183&lt;10,'Price Rules'!$B$5,IF(J183&lt;=50,'Price Rules'!$B$6,'Price Rules'!$B$7)))</x:f>
        <x:v>5</x:v>
      </x:c>
      <x:c r="L183">
        <x:f t="shared" si="2"/>
        <x:v>26</x:v>
      </x:c>
      <x:c r="M183" t="s">
        <x:v>568</x:v>
      </x:c>
      <x:c r="N183" t="s">
        <x:v>171</x:v>
      </x:c>
      <x:c r="O183" t="str">
        <x:v>Ready Stock</x:v>
      </x:c>
      <x:c r="P183">
        <x:v>236</x:v>
      </x:c>
      <x:c r="Q183" t="s">
        <x:v>172</x:v>
      </x:c>
      <x:c r="R183" t="s">
        <x:v>406</x:v>
      </x:c>
      <x:c r="S183" t="s">
        <x:v>174</x:v>
      </x:c>
      <x:c r="T183" t="s">
        <x:v>175</x:v>
      </x:c>
      <x:c r="U183" t="s">
        <x:v>407</x:v>
      </x:c>
      <x:c r="W183" t="str">
        <x:v>10-inch</x:v>
      </x:c>
    </x:row>
    <x:row r="184">
      <x:c r="A184" t="s">
        <x:v>28</x:v>
      </x:c>
      <x:c r="B184" t="s">
        <x:v>134</x:v>
      </x:c>
      <x:c r="C184" t="s">
        <x:v>543</x:v>
      </x:c>
      <x:c r="D184" t="s">
        <x:v>135</x:v>
      </x:c>
      <x:c r="E184" t="s">
        <x:v>137</x:v>
      </x:c>
      <x:c r="F184" t="s">
        <x:v>534</x:v>
      </x:c>
      <x:c r="G184" t="s">
        <x:v>569</x:v>
      </x:c>
      <x:c r="H184" t="s">
        <x:v>274</x:v>
      </x:c>
      <x:c r="I184">
        <x:v>29.82</x:v>
      </x:c>
      <x:c r="J184">
        <x:v>5.96</x:v>
      </x:c>
      <x:c r="K184" t="n">
        <x:f>IF(J184="","",IF(J184&lt;10,'Price Rules'!$B$5,IF(J184&lt;=50,'Price Rules'!$B$6,'Price Rules'!$B$7)))</x:f>
        <x:v>5</x:v>
      </x:c>
      <x:c r="L184">
        <x:f t="shared" si="2"/>
        <x:v>30</x:v>
      </x:c>
      <x:c r="M184" t="s">
        <x:v>570</x:v>
      </x:c>
      <x:c r="N184" t="s">
        <x:v>171</x:v>
      </x:c>
      <x:c r="O184" t="str">
        <x:v>Ready Stock</x:v>
      </x:c>
      <x:c r="P184">
        <x:v>237</x:v>
      </x:c>
      <x:c r="Q184" t="s">
        <x:v>172</x:v>
      </x:c>
      <x:c r="R184" t="s">
        <x:v>406</x:v>
      </x:c>
      <x:c r="S184" t="s">
        <x:v>174</x:v>
      </x:c>
      <x:c r="T184" t="s">
        <x:v>175</x:v>
      </x:c>
      <x:c r="U184" t="s">
        <x:v>407</x:v>
      </x:c>
      <x:c r="W184" t="str">
        <x:v>a4</x:v>
      </x:c>
    </x:row>
    <x:row r="185">
      <x:c r="A185" t="s">
        <x:v>28</x:v>
      </x:c>
      <x:c r="B185" t="s">
        <x:v>134</x:v>
      </x:c>
      <x:c r="C185" t="s">
        <x:v>546</x:v>
      </x:c>
      <x:c r="D185" t="s">
        <x:v>135</x:v>
      </x:c>
      <x:c r="E185" t="s">
        <x:v>137</x:v>
      </x:c>
      <x:c r="F185" t="s">
        <x:v>534</x:v>
      </x:c>
      <x:c r="G185" t="s">
        <x:v>571</x:v>
      </x:c>
      <x:c r="H185" t="s">
        <x:v>274</x:v>
      </x:c>
      <x:c r="I185">
        <x:v>38.82</x:v>
      </x:c>
      <x:c r="J185">
        <x:v>7.76</x:v>
      </x:c>
      <x:c r="K185" t="n">
        <x:f>IF(J185="","",IF(J185&lt;10,'Price Rules'!$B$5,IF(J185&lt;=50,'Price Rules'!$B$6,'Price Rules'!$B$7)))</x:f>
        <x:v>5</x:v>
      </x:c>
      <x:c r="L185">
        <x:f t="shared" si="2"/>
        <x:v>39</x:v>
      </x:c>
      <x:c r="M185" t="s">
        <x:v>572</x:v>
      </x:c>
      <x:c r="N185" t="s">
        <x:v>171</x:v>
      </x:c>
      <x:c r="O185" t="str">
        <x:v>Ready Stock</x:v>
      </x:c>
      <x:c r="P185">
        <x:v>238</x:v>
      </x:c>
      <x:c r="Q185" t="s">
        <x:v>172</x:v>
      </x:c>
      <x:c r="R185" t="s">
        <x:v>406</x:v>
      </x:c>
      <x:c r="S185" t="s">
        <x:v>174</x:v>
      </x:c>
      <x:c r="T185" t="s">
        <x:v>175</x:v>
      </x:c>
      <x:c r="U185" t="s">
        <x:v>407</x:v>
      </x:c>
      <x:c r="W185" t="str">
        <x:v>a3</x:v>
      </x:c>
    </x:row>
    <x:row r="186">
      <x:c r="A186" t="s">
        <x:v>28</x:v>
      </x:c>
      <x:c r="B186" t="s">
        <x:v>138</x:v>
      </x:c>
      <x:c r="C186" t="s">
        <x:v>533</x:v>
      </x:c>
      <x:c r="D186" t="s">
        <x:v>139</x:v>
      </x:c>
      <x:c r="E186" t="s">
        <x:v>141</x:v>
      </x:c>
      <x:c r="F186" t="s">
        <x:v>534</x:v>
      </x:c>
      <x:c r="G186" t="s">
        <x:v>573</x:v>
      </x:c>
      <x:c r="H186" t="s">
        <x:v>274</x:v>
      </x:c>
      <x:c r="I186">
        <x:v>13.4</x:v>
      </x:c>
      <x:c r="J186">
        <x:v>2.68</x:v>
      </x:c>
      <x:c r="K186" t="n">
        <x:f>IF(J186="","",IF(J186&lt;10,'Price Rules'!$B$5,IF(J186&lt;=50,'Price Rules'!$B$6,'Price Rules'!$B$7)))</x:f>
        <x:v>5</x:v>
      </x:c>
      <x:c r="L186">
        <x:f t="shared" si="2"/>
        <x:v>13</x:v>
      </x:c>
      <x:c r="M186" t="s">
        <x:v>574</x:v>
      </x:c>
      <x:c r="N186" t="s">
        <x:v>171</x:v>
      </x:c>
      <x:c r="O186" t="str">
        <x:v>Ready Stock</x:v>
      </x:c>
      <x:c r="P186">
        <x:v>241</x:v>
      </x:c>
      <x:c r="Q186" t="s">
        <x:v>172</x:v>
      </x:c>
      <x:c r="R186" t="s">
        <x:v>406</x:v>
      </x:c>
      <x:c r="S186" t="s">
        <x:v>174</x:v>
      </x:c>
      <x:c r="T186" t="s">
        <x:v>175</x:v>
      </x:c>
      <x:c r="U186" t="s">
        <x:v>407</x:v>
      </x:c>
      <x:c r="W186" t="str">
        <x:v>6-inch</x:v>
      </x:c>
    </x:row>
    <x:row r="187">
      <x:c r="A187" t="s">
        <x:v>28</x:v>
      </x:c>
      <x:c r="B187" t="s">
        <x:v>138</x:v>
      </x:c>
      <x:c r="C187" t="s">
        <x:v>167</x:v>
      </x:c>
      <x:c r="D187" t="s">
        <x:v>139</x:v>
      </x:c>
      <x:c r="E187" t="s">
        <x:v>141</x:v>
      </x:c>
      <x:c r="F187" t="s">
        <x:v>534</x:v>
      </x:c>
      <x:c r="G187" t="s">
        <x:v>575</x:v>
      </x:c>
      <x:c r="H187" t="s">
        <x:v>274</x:v>
      </x:c>
      <x:c r="I187">
        <x:v>14.3</x:v>
      </x:c>
      <x:c r="J187">
        <x:v>2.86</x:v>
      </x:c>
      <x:c r="K187" t="n">
        <x:f>IF(J187="","",IF(J187&lt;10,'Price Rules'!$B$5,IF(J187&lt;=50,'Price Rules'!$B$6,'Price Rules'!$B$7)))</x:f>
        <x:v>5</x:v>
      </x:c>
      <x:c r="L187">
        <x:f t="shared" si="2"/>
        <x:v>14</x:v>
      </x:c>
      <x:c r="M187" t="s">
        <x:v>576</x:v>
      </x:c>
      <x:c r="N187" t="s">
        <x:v>171</x:v>
      </x:c>
      <x:c r="O187" t="str">
        <x:v>Ready Stock</x:v>
      </x:c>
      <x:c r="P187">
        <x:v>242</x:v>
      </x:c>
      <x:c r="Q187" t="s">
        <x:v>172</x:v>
      </x:c>
      <x:c r="R187" t="s">
        <x:v>406</x:v>
      </x:c>
      <x:c r="S187" t="s">
        <x:v>174</x:v>
      </x:c>
      <x:c r="T187" t="s">
        <x:v>175</x:v>
      </x:c>
      <x:c r="U187" t="s">
        <x:v>407</x:v>
      </x:c>
      <x:c r="W187" t="str">
        <x:v>7-inch</x:v>
      </x:c>
    </x:row>
    <x:row r="188">
      <x:c r="A188" t="s">
        <x:v>28</x:v>
      </x:c>
      <x:c r="B188" t="s">
        <x:v>138</x:v>
      </x:c>
      <x:c r="C188" t="s">
        <x:v>177</x:v>
      </x:c>
      <x:c r="D188" t="s">
        <x:v>139</x:v>
      </x:c>
      <x:c r="E188" t="s">
        <x:v>141</x:v>
      </x:c>
      <x:c r="F188" t="s">
        <x:v>534</x:v>
      </x:c>
      <x:c r="G188" t="s">
        <x:v>577</x:v>
      </x:c>
      <x:c r="H188" t="s">
        <x:v>274</x:v>
      </x:c>
      <x:c r="I188">
        <x:v>17.9</x:v>
      </x:c>
      <x:c r="J188">
        <x:v>3.58</x:v>
      </x:c>
      <x:c r="K188" t="n">
        <x:f>IF(J188="","",IF(J188&lt;10,'Price Rules'!$B$5,IF(J188&lt;=50,'Price Rules'!$B$6,'Price Rules'!$B$7)))</x:f>
        <x:v>5</x:v>
      </x:c>
      <x:c r="L188">
        <x:f t="shared" si="2"/>
        <x:v>18</x:v>
      </x:c>
      <x:c r="M188" t="s">
        <x:v>578</x:v>
      </x:c>
      <x:c r="N188" t="s">
        <x:v>171</x:v>
      </x:c>
      <x:c r="O188" t="str">
        <x:v>Ready Stock</x:v>
      </x:c>
      <x:c r="P188">
        <x:v>243</x:v>
      </x:c>
      <x:c r="Q188" t="s">
        <x:v>172</x:v>
      </x:c>
      <x:c r="R188" t="s">
        <x:v>406</x:v>
      </x:c>
      <x:c r="S188" t="s">
        <x:v>174</x:v>
      </x:c>
      <x:c r="T188" t="s">
        <x:v>175</x:v>
      </x:c>
      <x:c r="U188" t="s">
        <x:v>407</x:v>
      </x:c>
      <x:c r="W188" t="str">
        <x:v>8-inch</x:v>
      </x:c>
    </x:row>
    <x:row r="189">
      <x:c r="A189" t="s">
        <x:v>28</x:v>
      </x:c>
      <x:c r="B189" t="s">
        <x:v>138</x:v>
      </x:c>
      <x:c r="C189" t="s">
        <x:v>181</x:v>
      </x:c>
      <x:c r="D189" t="s">
        <x:v>139</x:v>
      </x:c>
      <x:c r="E189" t="s">
        <x:v>141</x:v>
      </x:c>
      <x:c r="F189" t="s">
        <x:v>534</x:v>
      </x:c>
      <x:c r="G189" t="s">
        <x:v>579</x:v>
      </x:c>
      <x:c r="H189" t="s">
        <x:v>274</x:v>
      </x:c>
      <x:c r="I189">
        <x:v>26</x:v>
      </x:c>
      <x:c r="J189">
        <x:v>5.2</x:v>
      </x:c>
      <x:c r="K189" t="n">
        <x:f>IF(J189="","",IF(J189&lt;10,'Price Rules'!$B$5,IF(J189&lt;=50,'Price Rules'!$B$6,'Price Rules'!$B$7)))</x:f>
        <x:v>5</x:v>
      </x:c>
      <x:c r="L189">
        <x:f t="shared" si="2"/>
        <x:v>26</x:v>
      </x:c>
      <x:c r="M189" t="s">
        <x:v>580</x:v>
      </x:c>
      <x:c r="N189" t="s">
        <x:v>171</x:v>
      </x:c>
      <x:c r="O189" t="str">
        <x:v>Ready Stock</x:v>
      </x:c>
      <x:c r="P189">
        <x:v>244</x:v>
      </x:c>
      <x:c r="Q189" t="s">
        <x:v>172</x:v>
      </x:c>
      <x:c r="R189" t="s">
        <x:v>406</x:v>
      </x:c>
      <x:c r="S189" t="s">
        <x:v>174</x:v>
      </x:c>
      <x:c r="T189" t="s">
        <x:v>175</x:v>
      </x:c>
      <x:c r="U189" t="s">
        <x:v>407</x:v>
      </x:c>
      <x:c r="W189" t="str">
        <x:v>10-inch</x:v>
      </x:c>
    </x:row>
    <x:row r="190">
      <x:c r="A190" t="s">
        <x:v>28</x:v>
      </x:c>
      <x:c r="B190" t="s">
        <x:v>138</x:v>
      </x:c>
      <x:c r="C190" t="s">
        <x:v>543</x:v>
      </x:c>
      <x:c r="D190" t="s">
        <x:v>139</x:v>
      </x:c>
      <x:c r="E190" t="s">
        <x:v>141</x:v>
      </x:c>
      <x:c r="F190" t="s">
        <x:v>534</x:v>
      </x:c>
      <x:c r="G190" t="s">
        <x:v>581</x:v>
      </x:c>
      <x:c r="H190" t="s">
        <x:v>274</x:v>
      </x:c>
      <x:c r="I190">
        <x:v>29.82</x:v>
      </x:c>
      <x:c r="J190">
        <x:v>5.96</x:v>
      </x:c>
      <x:c r="K190" t="n">
        <x:f>IF(J190="","",IF(J190&lt;10,'Price Rules'!$B$5,IF(J190&lt;=50,'Price Rules'!$B$6,'Price Rules'!$B$7)))</x:f>
        <x:v>5</x:v>
      </x:c>
      <x:c r="L190">
        <x:f t="shared" si="2"/>
        <x:v>30</x:v>
      </x:c>
      <x:c r="M190" t="s">
        <x:v>582</x:v>
      </x:c>
      <x:c r="N190" t="s">
        <x:v>171</x:v>
      </x:c>
      <x:c r="O190" t="str">
        <x:v>Ready Stock</x:v>
      </x:c>
      <x:c r="P190">
        <x:v>245</x:v>
      </x:c>
      <x:c r="Q190" t="s">
        <x:v>172</x:v>
      </x:c>
      <x:c r="R190" t="s">
        <x:v>406</x:v>
      </x:c>
      <x:c r="S190" t="s">
        <x:v>174</x:v>
      </x:c>
      <x:c r="T190" t="s">
        <x:v>175</x:v>
      </x:c>
      <x:c r="U190" t="s">
        <x:v>407</x:v>
      </x:c>
      <x:c r="W190" t="str">
        <x:v>a4</x:v>
      </x:c>
    </x:row>
    <x:row r="191">
      <x:c r="A191" t="s">
        <x:v>28</x:v>
      </x:c>
      <x:c r="B191" t="s">
        <x:v>138</x:v>
      </x:c>
      <x:c r="C191" t="s">
        <x:v>546</x:v>
      </x:c>
      <x:c r="D191" t="s">
        <x:v>139</x:v>
      </x:c>
      <x:c r="E191" t="s">
        <x:v>141</x:v>
      </x:c>
      <x:c r="F191" t="s">
        <x:v>534</x:v>
      </x:c>
      <x:c r="G191" t="s">
        <x:v>583</x:v>
      </x:c>
      <x:c r="H191" t="s">
        <x:v>274</x:v>
      </x:c>
      <x:c r="I191">
        <x:v>38.82</x:v>
      </x:c>
      <x:c r="J191">
        <x:v>7.76</x:v>
      </x:c>
      <x:c r="K191" t="n">
        <x:f>IF(J191="","",IF(J191&lt;10,'Price Rules'!$B$5,IF(J191&lt;=50,'Price Rules'!$B$6,'Price Rules'!$B$7)))</x:f>
        <x:v>5</x:v>
      </x:c>
      <x:c r="L191">
        <x:f t="shared" si="2"/>
        <x:v>39</x:v>
      </x:c>
      <x:c r="M191" t="s">
        <x:v>584</x:v>
      </x:c>
      <x:c r="N191" t="s">
        <x:v>171</x:v>
      </x:c>
      <x:c r="O191" t="str">
        <x:v>Ready Stock</x:v>
      </x:c>
      <x:c r="P191">
        <x:v>246</x:v>
      </x:c>
      <x:c r="Q191" t="s">
        <x:v>172</x:v>
      </x:c>
      <x:c r="R191" t="s">
        <x:v>406</x:v>
      </x:c>
      <x:c r="S191" t="s">
        <x:v>174</x:v>
      </x:c>
      <x:c r="T191" t="s">
        <x:v>175</x:v>
      </x:c>
      <x:c r="U191" t="s">
        <x:v>407</x:v>
      </x:c>
      <x:c r="W191" t="str">
        <x:v>a3</x:v>
      </x:c>
    </x:row>
    <x:row r="192">
      <x:c r="A192" t="s">
        <x:v>28</x:v>
      </x:c>
      <x:c r="B192" t="s">
        <x:v>142</x:v>
      </x:c>
      <x:c r="C192" t="s">
        <x:v>533</x:v>
      </x:c>
      <x:c r="D192" t="s">
        <x:v>143</x:v>
      </x:c>
      <x:c r="E192" t="s">
        <x:v>145</x:v>
      </x:c>
      <x:c r="F192" t="s">
        <x:v>534</x:v>
      </x:c>
      <x:c r="G192" t="s">
        <x:v>585</x:v>
      </x:c>
      <x:c r="H192" t="s">
        <x:v>274</x:v>
      </x:c>
      <x:c r="I192">
        <x:v>13.4</x:v>
      </x:c>
      <x:c r="J192">
        <x:v>2.68</x:v>
      </x:c>
      <x:c r="K192" t="n">
        <x:f>IF(J192="","",IF(J192&lt;10,'Price Rules'!$B$5,IF(J192&lt;=50,'Price Rules'!$B$6,'Price Rules'!$B$7)))</x:f>
        <x:v>5</x:v>
      </x:c>
      <x:c r="L192">
        <x:f t="shared" si="2"/>
        <x:v>13</x:v>
      </x:c>
      <x:c r="M192" t="s">
        <x:v>586</x:v>
      </x:c>
      <x:c r="N192" t="s">
        <x:v>171</x:v>
      </x:c>
      <x:c r="O192" t="str">
        <x:v>Ready Stock</x:v>
      </x:c>
      <x:c r="P192">
        <x:v>249</x:v>
      </x:c>
      <x:c r="Q192" t="s">
        <x:v>172</x:v>
      </x:c>
      <x:c r="R192" t="s">
        <x:v>331</x:v>
      </x:c>
      <x:c r="S192" t="s">
        <x:v>174</x:v>
      </x:c>
      <x:c r="T192" t="s">
        <x:v>175</x:v>
      </x:c>
      <x:c r="U192" t="s">
        <x:v>407</x:v>
      </x:c>
      <x:c r="W192" t="str">
        <x:v>6-inch</x:v>
      </x:c>
    </x:row>
    <x:row r="193">
      <x:c r="A193" t="s">
        <x:v>28</x:v>
      </x:c>
      <x:c r="B193" t="s">
        <x:v>142</x:v>
      </x:c>
      <x:c r="C193" t="s">
        <x:v>167</x:v>
      </x:c>
      <x:c r="D193" t="s">
        <x:v>143</x:v>
      </x:c>
      <x:c r="E193" t="s">
        <x:v>145</x:v>
      </x:c>
      <x:c r="F193" t="s">
        <x:v>534</x:v>
      </x:c>
      <x:c r="G193" t="s">
        <x:v>587</x:v>
      </x:c>
      <x:c r="H193" t="s">
        <x:v>274</x:v>
      </x:c>
      <x:c r="I193">
        <x:v>14.3</x:v>
      </x:c>
      <x:c r="J193">
        <x:v>2.86</x:v>
      </x:c>
      <x:c r="K193" t="n">
        <x:f>IF(J193="","",IF(J193&lt;10,'Price Rules'!$B$5,IF(J193&lt;=50,'Price Rules'!$B$6,'Price Rules'!$B$7)))</x:f>
        <x:v>5</x:v>
      </x:c>
      <x:c r="L193">
        <x:f t="shared" si="2"/>
        <x:v>14</x:v>
      </x:c>
      <x:c r="M193" t="s">
        <x:v>588</x:v>
      </x:c>
      <x:c r="N193" t="s">
        <x:v>171</x:v>
      </x:c>
      <x:c r="O193" t="str">
        <x:v>Ready Stock</x:v>
      </x:c>
      <x:c r="P193">
        <x:v>250</x:v>
      </x:c>
      <x:c r="Q193" t="s">
        <x:v>172</x:v>
      </x:c>
      <x:c r="R193" t="s">
        <x:v>331</x:v>
      </x:c>
      <x:c r="S193" t="s">
        <x:v>174</x:v>
      </x:c>
      <x:c r="T193" t="s">
        <x:v>175</x:v>
      </x:c>
      <x:c r="U193" t="s">
        <x:v>407</x:v>
      </x:c>
      <x:c r="W193" t="str">
        <x:v>7-inch</x:v>
      </x:c>
    </x:row>
    <x:row r="194">
      <x:c r="A194" t="s">
        <x:v>28</x:v>
      </x:c>
      <x:c r="B194" t="s">
        <x:v>142</x:v>
      </x:c>
      <x:c r="C194" t="s">
        <x:v>177</x:v>
      </x:c>
      <x:c r="D194" t="s">
        <x:v>143</x:v>
      </x:c>
      <x:c r="E194" t="s">
        <x:v>145</x:v>
      </x:c>
      <x:c r="F194" t="s">
        <x:v>534</x:v>
      </x:c>
      <x:c r="G194" t="s">
        <x:v>589</x:v>
      </x:c>
      <x:c r="H194" t="s">
        <x:v>274</x:v>
      </x:c>
      <x:c r="I194">
        <x:v>17.9</x:v>
      </x:c>
      <x:c r="J194">
        <x:v>3.58</x:v>
      </x:c>
      <x:c r="K194" t="n">
        <x:f>IF(J194="","",IF(J194&lt;10,'Price Rules'!$B$5,IF(J194&lt;=50,'Price Rules'!$B$6,'Price Rules'!$B$7)))</x:f>
        <x:v>5</x:v>
      </x:c>
      <x:c r="L194">
        <x:f t="shared" si="2"/>
        <x:v>18</x:v>
      </x:c>
      <x:c r="M194" t="s">
        <x:v>590</x:v>
      </x:c>
      <x:c r="N194" t="s">
        <x:v>171</x:v>
      </x:c>
      <x:c r="O194" t="str">
        <x:v>Ready Stock</x:v>
      </x:c>
      <x:c r="P194">
        <x:v>251</x:v>
      </x:c>
      <x:c r="Q194" t="s">
        <x:v>172</x:v>
      </x:c>
      <x:c r="R194" t="s">
        <x:v>331</x:v>
      </x:c>
      <x:c r="S194" t="s">
        <x:v>174</x:v>
      </x:c>
      <x:c r="T194" t="s">
        <x:v>175</x:v>
      </x:c>
      <x:c r="U194" t="s">
        <x:v>407</x:v>
      </x:c>
      <x:c r="W194" t="str">
        <x:v>8-inch</x:v>
      </x:c>
    </x:row>
    <x:row r="195">
      <x:c r="A195" t="s">
        <x:v>28</x:v>
      </x:c>
      <x:c r="B195" t="s">
        <x:v>142</x:v>
      </x:c>
      <x:c r="C195" t="s">
        <x:v>181</x:v>
      </x:c>
      <x:c r="D195" t="s">
        <x:v>143</x:v>
      </x:c>
      <x:c r="E195" t="s">
        <x:v>145</x:v>
      </x:c>
      <x:c r="F195" t="s">
        <x:v>534</x:v>
      </x:c>
      <x:c r="G195" t="s">
        <x:v>591</x:v>
      </x:c>
      <x:c r="H195" t="s">
        <x:v>274</x:v>
      </x:c>
      <x:c r="I195">
        <x:v>26</x:v>
      </x:c>
      <x:c r="J195">
        <x:v>5.2</x:v>
      </x:c>
      <x:c r="K195" t="n">
        <x:f>IF(J195="","",IF(J195&lt;10,'Price Rules'!$B$5,IF(J195&lt;=50,'Price Rules'!$B$6,'Price Rules'!$B$7)))</x:f>
        <x:v>5</x:v>
      </x:c>
      <x:c r="L195">
        <x:f t="shared" si="2"/>
        <x:v>26</x:v>
      </x:c>
      <x:c r="M195" t="s">
        <x:v>592</x:v>
      </x:c>
      <x:c r="N195" t="s">
        <x:v>171</x:v>
      </x:c>
      <x:c r="O195" t="str">
        <x:v>Ready Stock</x:v>
      </x:c>
      <x:c r="P195">
        <x:v>252</x:v>
      </x:c>
      <x:c r="Q195" t="s">
        <x:v>172</x:v>
      </x:c>
      <x:c r="R195" t="s">
        <x:v>331</x:v>
      </x:c>
      <x:c r="S195" t="s">
        <x:v>174</x:v>
      </x:c>
      <x:c r="T195" t="s">
        <x:v>175</x:v>
      </x:c>
      <x:c r="U195" t="s">
        <x:v>407</x:v>
      </x:c>
      <x:c r="W195" t="str">
        <x:v>10-inch</x:v>
      </x:c>
    </x:row>
    <x:row r="196">
      <x:c r="A196" t="s">
        <x:v>28</x:v>
      </x:c>
      <x:c r="B196" t="s">
        <x:v>142</x:v>
      </x:c>
      <x:c r="C196" t="s">
        <x:v>543</x:v>
      </x:c>
      <x:c r="D196" t="s">
        <x:v>143</x:v>
      </x:c>
      <x:c r="E196" t="s">
        <x:v>145</x:v>
      </x:c>
      <x:c r="F196" t="s">
        <x:v>534</x:v>
      </x:c>
      <x:c r="G196" t="s">
        <x:v>593</x:v>
      </x:c>
      <x:c r="H196" t="s">
        <x:v>274</x:v>
      </x:c>
      <x:c r="I196">
        <x:v>29.82</x:v>
      </x:c>
      <x:c r="J196">
        <x:v>5.96</x:v>
      </x:c>
      <x:c r="K196" t="n">
        <x:f>IF(J196="","",IF(J196&lt;10,'Price Rules'!$B$5,IF(J196&lt;=50,'Price Rules'!$B$6,'Price Rules'!$B$7)))</x:f>
        <x:v>5</x:v>
      </x:c>
      <x:c r="L196">
        <x:f t="shared" si="2"/>
        <x:v>30</x:v>
      </x:c>
      <x:c r="M196" t="s">
        <x:v>594</x:v>
      </x:c>
      <x:c r="N196" t="s">
        <x:v>171</x:v>
      </x:c>
      <x:c r="O196" t="str">
        <x:v>Ready Stock</x:v>
      </x:c>
      <x:c r="P196">
        <x:v>253</x:v>
      </x:c>
      <x:c r="Q196" t="s">
        <x:v>172</x:v>
      </x:c>
      <x:c r="R196" t="s">
        <x:v>331</x:v>
      </x:c>
      <x:c r="S196" t="s">
        <x:v>174</x:v>
      </x:c>
      <x:c r="T196" t="s">
        <x:v>175</x:v>
      </x:c>
      <x:c r="U196" t="s">
        <x:v>407</x:v>
      </x:c>
      <x:c r="W196" t="str">
        <x:v>a4</x:v>
      </x:c>
    </x:row>
    <x:row r="197">
      <x:c r="A197" t="s">
        <x:v>28</x:v>
      </x:c>
      <x:c r="B197" t="s">
        <x:v>142</x:v>
      </x:c>
      <x:c r="C197" t="s">
        <x:v>546</x:v>
      </x:c>
      <x:c r="D197" t="s">
        <x:v>143</x:v>
      </x:c>
      <x:c r="E197" t="s">
        <x:v>145</x:v>
      </x:c>
      <x:c r="F197" t="s">
        <x:v>534</x:v>
      </x:c>
      <x:c r="G197" t="s">
        <x:v>595</x:v>
      </x:c>
      <x:c r="H197" t="s">
        <x:v>274</x:v>
      </x:c>
      <x:c r="I197">
        <x:v>38.82</x:v>
      </x:c>
      <x:c r="J197">
        <x:v>7.76</x:v>
      </x:c>
      <x:c r="K197" t="n">
        <x:f>IF(J197="","",IF(J197&lt;10,'Price Rules'!$B$5,IF(J197&lt;=50,'Price Rules'!$B$6,'Price Rules'!$B$7)))</x:f>
        <x:v>5</x:v>
      </x:c>
      <x:c r="L197" t="n">
        <x:f>IF(J197="","",ROUND(J197*K197,0))</x:f>
        <x:v>39</x:v>
      </x:c>
      <x:c r="M197" t="s">
        <x:v>596</x:v>
      </x:c>
      <x:c r="N197" t="s">
        <x:v>171</x:v>
      </x:c>
      <x:c r="O197" t="str">
        <x:v>Ready Stock</x:v>
      </x:c>
      <x:c r="P197">
        <x:v>254</x:v>
      </x:c>
      <x:c r="Q197" t="s">
        <x:v>172</x:v>
      </x:c>
      <x:c r="R197" t="s">
        <x:v>331</x:v>
      </x:c>
      <x:c r="S197" t="s">
        <x:v>174</x:v>
      </x:c>
      <x:c r="T197" t="s">
        <x:v>175</x:v>
      </x:c>
      <x:c r="U197" t="s">
        <x:v>407</x:v>
      </x:c>
      <x:c r="W197" t="str">
        <x:v>a3</x:v>
      </x:c>
    </x:row>
  </x:sheetData>
  <x:mergeCells>
    <x:mergeCell ref="A1:P1"/>
    <x:mergeCell ref="A2:P2"/>
  </x:mergeCells>
  <x:dataValidations count="2">
    <x:dataValidation type="list" sqref="O5:O197">
      <x:formula1>'Product Status'!$B$5:$B$11</x:formula1>
    </x:dataValidation>
    <x:dataValidation type="list" sqref="W5:W197">
      <x:formula1>'Product Sizes'!$A$5:$A$24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7.941176414489746" defaultRowHeight="17.600000381469727"/>
  <x:cols>
    <x:col min="6" max="6" width="13.602941513061523" customWidth="1"/>
  </x:cols>
  <x:sheetData>
    <x:row r="1">
      <x:c r="A1" t="s">
        <x:v>597</x:v>
      </x:c>
    </x:row>
    <x:row r="2">
      <x:c r="A2" t="s">
        <x:v>598</x:v>
      </x:c>
    </x:row>
    <x:row r="4">
      <x:c r="A4" t="s">
        <x:v>158</x:v>
      </x:c>
      <x:c r="B4" t="s">
        <x:v>16</x:v>
      </x:c>
      <x:c r="C4" t="s">
        <x:v>36</x:v>
      </x:c>
      <x:c r="D4" t="s">
        <x:v>599</x:v>
      </x:c>
      <x:c r="E4" t="s">
        <x:v>600</x:v>
      </x:c>
      <x:c r="F4" t="s">
        <x:v>20</x:v>
      </x:c>
    </x:row>
    <x:row r="5">
      <x:c r="A5" t="s">
        <x:v>43</x:v>
      </x:c>
      <x:c r="B5" t="s">
        <x:v>21</x:v>
      </x:c>
      <x:c r="C5" t="s">
        <x:v>41</x:v>
      </x:c>
      <x:c r="D5" t="s">
        <x:v>274</x:v>
      </x:c>
      <x:c r="E5" t="s">
        <x:v>175</x:v>
      </x:c>
      <x:c r="F5" t="s">
        <x:v>601</x:v>
      </x:c>
    </x:row>
    <x:row r="6">
      <x:c r="A6" t="s">
        <x:v>180</x:v>
      </x:c>
      <x:c r="B6" t="s">
        <x:v>21</x:v>
      </x:c>
      <x:c r="C6" t="s">
        <x:v>41</x:v>
      </x:c>
      <x:c r="D6" t="s">
        <x:v>274</x:v>
      </x:c>
      <x:c r="E6" t="s">
        <x:v>175</x:v>
      </x:c>
      <x:c r="F6" t="s">
        <x:v>601</x:v>
      </x:c>
    </x:row>
    <x:row r="7">
      <x:c r="A7" t="s">
        <x:v>184</x:v>
      </x:c>
      <x:c r="B7" t="s">
        <x:v>21</x:v>
      </x:c>
      <x:c r="C7" t="s">
        <x:v>41</x:v>
      </x:c>
      <x:c r="D7" t="s">
        <x:v>274</x:v>
      </x:c>
      <x:c r="E7" t="s">
        <x:v>175</x:v>
      </x:c>
      <x:c r="F7" t="s">
        <x:v>601</x:v>
      </x:c>
    </x:row>
    <x:row r="8">
      <x:c r="A8" t="s">
        <x:v>188</x:v>
      </x:c>
      <x:c r="B8" t="s">
        <x:v>21</x:v>
      </x:c>
      <x:c r="C8" t="s">
        <x:v>41</x:v>
      </x:c>
      <x:c r="D8" t="s">
        <x:v>274</x:v>
      </x:c>
      <x:c r="E8" t="s">
        <x:v>175</x:v>
      </x:c>
      <x:c r="F8" t="s">
        <x:v>601</x:v>
      </x:c>
    </x:row>
    <x:row r="9">
      <x:c r="A9" t="s">
        <x:v>192</x:v>
      </x:c>
      <x:c r="B9" t="s">
        <x:v>21</x:v>
      </x:c>
      <x:c r="C9" t="s">
        <x:v>41</x:v>
      </x:c>
      <x:c r="D9" t="s">
        <x:v>274</x:v>
      </x:c>
      <x:c r="E9" t="s">
        <x:v>175</x:v>
      </x:c>
      <x:c r="F9" t="s">
        <x:v>601</x:v>
      </x:c>
    </x:row>
    <x:row r="10">
      <x:c r="A10" t="s">
        <x:v>197</x:v>
      </x:c>
      <x:c r="B10" t="s">
        <x:v>21</x:v>
      </x:c>
      <x:c r="C10" t="s">
        <x:v>41</x:v>
      </x:c>
      <x:c r="D10" t="s">
        <x:v>274</x:v>
      </x:c>
      <x:c r="E10" t="s">
        <x:v>175</x:v>
      </x:c>
      <x:c r="F10" t="s">
        <x:v>601</x:v>
      </x:c>
    </x:row>
    <x:row r="11">
      <x:c r="A11" t="s">
        <x:v>202</x:v>
      </x:c>
      <x:c r="B11" t="s">
        <x:v>21</x:v>
      </x:c>
      <x:c r="C11" t="s">
        <x:v>41</x:v>
      </x:c>
      <x:c r="D11" t="s">
        <x:v>274</x:v>
      </x:c>
      <x:c r="E11" t="s">
        <x:v>175</x:v>
      </x:c>
      <x:c r="F11" t="s">
        <x:v>601</x:v>
      </x:c>
    </x:row>
    <x:row r="12">
      <x:c r="A12" t="s">
        <x:v>206</x:v>
      </x:c>
      <x:c r="B12" t="s">
        <x:v>21</x:v>
      </x:c>
      <x:c r="C12" t="s">
        <x:v>41</x:v>
      </x:c>
      <x:c r="D12" t="s">
        <x:v>274</x:v>
      </x:c>
      <x:c r="E12" t="s">
        <x:v>175</x:v>
      </x:c>
      <x:c r="F12" t="s">
        <x:v>601</x:v>
      </x:c>
    </x:row>
    <x:row r="13">
      <x:c r="A13" t="s">
        <x:v>210</x:v>
      </x:c>
      <x:c r="B13" t="s">
        <x:v>21</x:v>
      </x:c>
      <x:c r="C13" t="s">
        <x:v>41</x:v>
      </x:c>
      <x:c r="D13" t="s">
        <x:v>274</x:v>
      </x:c>
      <x:c r="E13" t="s">
        <x:v>175</x:v>
      </x:c>
      <x:c r="F13" t="s">
        <x:v>601</x:v>
      </x:c>
    </x:row>
    <x:row r="14">
      <x:c r="A14" t="s">
        <x:v>214</x:v>
      </x:c>
      <x:c r="B14" t="s">
        <x:v>21</x:v>
      </x:c>
      <x:c r="C14" t="s">
        <x:v>41</x:v>
      </x:c>
      <x:c r="D14" t="s">
        <x:v>274</x:v>
      </x:c>
      <x:c r="E14" t="s">
        <x:v>175</x:v>
      </x:c>
      <x:c r="F14" t="s">
        <x:v>601</x:v>
      </x:c>
    </x:row>
    <x:row r="15">
      <x:c r="A15" t="s">
        <x:v>218</x:v>
      </x:c>
      <x:c r="B15" t="s">
        <x:v>21</x:v>
      </x:c>
      <x:c r="C15" t="s">
        <x:v>41</x:v>
      </x:c>
      <x:c r="D15" t="s">
        <x:v>274</x:v>
      </x:c>
      <x:c r="E15" t="s">
        <x:v>175</x:v>
      </x:c>
      <x:c r="F15" t="s">
        <x:v>601</x:v>
      </x:c>
    </x:row>
    <x:row r="16">
      <x:c r="A16" t="s">
        <x:v>222</x:v>
      </x:c>
      <x:c r="B16" t="s">
        <x:v>21</x:v>
      </x:c>
      <x:c r="C16" t="s">
        <x:v>41</x:v>
      </x:c>
      <x:c r="D16" t="s">
        <x:v>274</x:v>
      </x:c>
      <x:c r="E16" t="s">
        <x:v>175</x:v>
      </x:c>
      <x:c r="F16" t="s">
        <x:v>601</x:v>
      </x:c>
    </x:row>
    <x:row r="17">
      <x:c r="A17" t="s">
        <x:v>226</x:v>
      </x:c>
      <x:c r="B17" t="s">
        <x:v>21</x:v>
      </x:c>
      <x:c r="C17" t="s">
        <x:v>41</x:v>
      </x:c>
      <x:c r="D17" t="s">
        <x:v>274</x:v>
      </x:c>
      <x:c r="E17" t="s">
        <x:v>175</x:v>
      </x:c>
      <x:c r="F17" t="s">
        <x:v>601</x:v>
      </x:c>
    </x:row>
    <x:row r="18">
      <x:c r="A18" t="s">
        <x:v>230</x:v>
      </x:c>
      <x:c r="B18" t="s">
        <x:v>21</x:v>
      </x:c>
      <x:c r="C18" t="s">
        <x:v>41</x:v>
      </x:c>
      <x:c r="D18" t="s">
        <x:v>274</x:v>
      </x:c>
      <x:c r="E18" t="s">
        <x:v>175</x:v>
      </x:c>
      <x:c r="F18" t="s">
        <x:v>601</x:v>
      </x:c>
    </x:row>
    <x:row r="19">
      <x:c r="A19" t="s">
        <x:v>48</x:v>
      </x:c>
      <x:c r="B19" t="s">
        <x:v>25</x:v>
      </x:c>
      <x:c r="C19" t="s">
        <x:v>46</x:v>
      </x:c>
      <x:c r="D19" t="s">
        <x:v>274</x:v>
      </x:c>
      <x:c r="E19" t="s">
        <x:v>175</x:v>
      </x:c>
      <x:c r="F19" t="s">
        <x:v>601</x:v>
      </x:c>
    </x:row>
    <x:row r="20">
      <x:c r="A20" t="s">
        <x:v>236</x:v>
      </x:c>
      <x:c r="B20" t="s">
        <x:v>25</x:v>
      </x:c>
      <x:c r="C20" t="s">
        <x:v>46</x:v>
      </x:c>
      <x:c r="D20" t="s">
        <x:v>274</x:v>
      </x:c>
      <x:c r="E20" t="s">
        <x:v>175</x:v>
      </x:c>
      <x:c r="F20" t="s">
        <x:v>601</x:v>
      </x:c>
    </x:row>
    <x:row r="21">
      <x:c r="A21" t="s">
        <x:v>239</x:v>
      </x:c>
      <x:c r="B21" t="s">
        <x:v>25</x:v>
      </x:c>
      <x:c r="C21" t="s">
        <x:v>46</x:v>
      </x:c>
      <x:c r="D21" t="s">
        <x:v>274</x:v>
      </x:c>
      <x:c r="E21" t="s">
        <x:v>175</x:v>
      </x:c>
      <x:c r="F21" t="s">
        <x:v>601</x:v>
      </x:c>
    </x:row>
    <x:row r="22">
      <x:c r="A22" t="s">
        <x:v>242</x:v>
      </x:c>
      <x:c r="B22" t="s">
        <x:v>25</x:v>
      </x:c>
      <x:c r="C22" t="s">
        <x:v>46</x:v>
      </x:c>
      <x:c r="D22" t="s">
        <x:v>274</x:v>
      </x:c>
      <x:c r="E22" t="s">
        <x:v>175</x:v>
      </x:c>
      <x:c r="F22" t="s">
        <x:v>601</x:v>
      </x:c>
    </x:row>
    <x:row r="23">
      <x:c r="A23" t="s">
        <x:v>245</x:v>
      </x:c>
      <x:c r="B23" t="s">
        <x:v>25</x:v>
      </x:c>
      <x:c r="C23" t="s">
        <x:v>46</x:v>
      </x:c>
      <x:c r="D23" t="s">
        <x:v>274</x:v>
      </x:c>
      <x:c r="E23" t="s">
        <x:v>175</x:v>
      </x:c>
      <x:c r="F23" t="s">
        <x:v>601</x:v>
      </x:c>
    </x:row>
    <x:row r="24">
      <x:c r="A24" t="s">
        <x:v>248</x:v>
      </x:c>
      <x:c r="B24" t="s">
        <x:v>25</x:v>
      </x:c>
      <x:c r="C24" t="s">
        <x:v>46</x:v>
      </x:c>
      <x:c r="D24" t="s">
        <x:v>274</x:v>
      </x:c>
      <x:c r="E24" t="s">
        <x:v>175</x:v>
      </x:c>
      <x:c r="F24" t="s">
        <x:v>601</x:v>
      </x:c>
    </x:row>
    <x:row r="25">
      <x:c r="A25" t="s">
        <x:v>251</x:v>
      </x:c>
      <x:c r="B25" t="s">
        <x:v>25</x:v>
      </x:c>
      <x:c r="C25" t="s">
        <x:v>46</x:v>
      </x:c>
      <x:c r="D25" t="s">
        <x:v>274</x:v>
      </x:c>
      <x:c r="E25" t="s">
        <x:v>175</x:v>
      </x:c>
      <x:c r="F25" t="s">
        <x:v>601</x:v>
      </x:c>
    </x:row>
    <x:row r="26">
      <x:c r="A26" t="s">
        <x:v>254</x:v>
      </x:c>
      <x:c r="B26" t="s">
        <x:v>25</x:v>
      </x:c>
      <x:c r="C26" t="s">
        <x:v>46</x:v>
      </x:c>
      <x:c r="D26" t="s">
        <x:v>274</x:v>
      </x:c>
      <x:c r="E26" t="s">
        <x:v>175</x:v>
      </x:c>
      <x:c r="F26" t="s">
        <x:v>601</x:v>
      </x:c>
    </x:row>
    <x:row r="27">
      <x:c r="A27" t="s">
        <x:v>257</x:v>
      </x:c>
      <x:c r="B27" t="s">
        <x:v>25</x:v>
      </x:c>
      <x:c r="C27" t="s">
        <x:v>46</x:v>
      </x:c>
      <x:c r="D27" t="s">
        <x:v>274</x:v>
      </x:c>
      <x:c r="E27" t="s">
        <x:v>175</x:v>
      </x:c>
      <x:c r="F27" t="s">
        <x:v>601</x:v>
      </x:c>
    </x:row>
    <x:row r="28">
      <x:c r="A28" t="s">
        <x:v>260</x:v>
      </x:c>
      <x:c r="B28" t="s">
        <x:v>25</x:v>
      </x:c>
      <x:c r="C28" t="s">
        <x:v>46</x:v>
      </x:c>
      <x:c r="D28" t="s">
        <x:v>274</x:v>
      </x:c>
      <x:c r="E28" t="s">
        <x:v>175</x:v>
      </x:c>
      <x:c r="F28" t="s">
        <x:v>601</x:v>
      </x:c>
    </x:row>
    <x:row r="29">
      <x:c r="A29" t="s">
        <x:v>263</x:v>
      </x:c>
      <x:c r="B29" t="s">
        <x:v>25</x:v>
      </x:c>
      <x:c r="C29" t="s">
        <x:v>46</x:v>
      </x:c>
      <x:c r="D29" t="s">
        <x:v>274</x:v>
      </x:c>
      <x:c r="E29" t="s">
        <x:v>175</x:v>
      </x:c>
      <x:c r="F29" t="s">
        <x:v>601</x:v>
      </x:c>
    </x:row>
    <x:row r="30">
      <x:c r="A30" t="s">
        <x:v>266</x:v>
      </x:c>
      <x:c r="B30" t="s">
        <x:v>25</x:v>
      </x:c>
      <x:c r="C30" t="s">
        <x:v>46</x:v>
      </x:c>
      <x:c r="D30" t="s">
        <x:v>274</x:v>
      </x:c>
      <x:c r="E30" t="s">
        <x:v>175</x:v>
      </x:c>
      <x:c r="F30" t="s">
        <x:v>601</x:v>
      </x:c>
    </x:row>
    <x:row r="31">
      <x:c r="A31" t="s">
        <x:v>269</x:v>
      </x:c>
      <x:c r="B31" t="s">
        <x:v>25</x:v>
      </x:c>
      <x:c r="C31" t="s">
        <x:v>46</x:v>
      </x:c>
      <x:c r="D31" t="s">
        <x:v>274</x:v>
      </x:c>
      <x:c r="E31" t="s">
        <x:v>175</x:v>
      </x:c>
      <x:c r="F31" t="s">
        <x:v>601</x:v>
      </x:c>
    </x:row>
    <x:row r="32">
      <x:c r="A32" t="s">
        <x:v>272</x:v>
      </x:c>
      <x:c r="B32" t="s">
        <x:v>25</x:v>
      </x:c>
      <x:c r="C32" t="s">
        <x:v>46</x:v>
      </x:c>
      <x:c r="D32" t="s">
        <x:v>274</x:v>
      </x:c>
      <x:c r="E32" t="s">
        <x:v>175</x:v>
      </x:c>
      <x:c r="F32" t="s">
        <x:v>601</x:v>
      </x:c>
    </x:row>
    <x:row r="33">
      <x:c r="A33" t="s">
        <x:v>52</x:v>
      </x:c>
      <x:c r="B33" t="s">
        <x:v>25</x:v>
      </x:c>
      <x:c r="C33" t="s">
        <x:v>50</x:v>
      </x:c>
      <x:c r="D33" t="s">
        <x:v>274</x:v>
      </x:c>
      <x:c r="E33" t="s">
        <x:v>175</x:v>
      </x:c>
      <x:c r="F33" t="s">
        <x:v>601</x:v>
      </x:c>
    </x:row>
    <x:row r="34">
      <x:c r="A34" t="s">
        <x:v>277</x:v>
      </x:c>
      <x:c r="B34" t="s">
        <x:v>25</x:v>
      </x:c>
      <x:c r="C34" t="s">
        <x:v>50</x:v>
      </x:c>
      <x:c r="D34" t="s">
        <x:v>274</x:v>
      </x:c>
      <x:c r="E34" t="s">
        <x:v>175</x:v>
      </x:c>
      <x:c r="F34" t="s">
        <x:v>601</x:v>
      </x:c>
    </x:row>
    <x:row r="35">
      <x:c r="A35" t="s">
        <x:v>279</x:v>
      </x:c>
      <x:c r="B35" t="s">
        <x:v>25</x:v>
      </x:c>
      <x:c r="C35" t="s">
        <x:v>50</x:v>
      </x:c>
      <x:c r="D35" t="s">
        <x:v>274</x:v>
      </x:c>
      <x:c r="E35" t="s">
        <x:v>175</x:v>
      </x:c>
      <x:c r="F35" t="s">
        <x:v>601</x:v>
      </x:c>
    </x:row>
    <x:row r="36">
      <x:c r="A36" t="s">
        <x:v>281</x:v>
      </x:c>
      <x:c r="B36" t="s">
        <x:v>25</x:v>
      </x:c>
      <x:c r="C36" t="s">
        <x:v>50</x:v>
      </x:c>
      <x:c r="D36" t="s">
        <x:v>274</x:v>
      </x:c>
      <x:c r="E36" t="s">
        <x:v>175</x:v>
      </x:c>
      <x:c r="F36" t="s">
        <x:v>601</x:v>
      </x:c>
    </x:row>
    <x:row r="37">
      <x:c r="A37" t="s">
        <x:v>283</x:v>
      </x:c>
      <x:c r="B37" t="s">
        <x:v>25</x:v>
      </x:c>
      <x:c r="C37" t="s">
        <x:v>50</x:v>
      </x:c>
      <x:c r="D37" t="s">
        <x:v>274</x:v>
      </x:c>
      <x:c r="E37" t="s">
        <x:v>175</x:v>
      </x:c>
      <x:c r="F37" t="s">
        <x:v>601</x:v>
      </x:c>
    </x:row>
    <x:row r="38">
      <x:c r="A38" t="s">
        <x:v>285</x:v>
      </x:c>
      <x:c r="B38" t="s">
        <x:v>25</x:v>
      </x:c>
      <x:c r="C38" t="s">
        <x:v>50</x:v>
      </x:c>
      <x:c r="D38" t="s">
        <x:v>274</x:v>
      </x:c>
      <x:c r="E38" t="s">
        <x:v>175</x:v>
      </x:c>
      <x:c r="F38" t="s">
        <x:v>601</x:v>
      </x:c>
    </x:row>
    <x:row r="39">
      <x:c r="A39" t="s">
        <x:v>287</x:v>
      </x:c>
      <x:c r="B39" t="s">
        <x:v>25</x:v>
      </x:c>
      <x:c r="C39" t="s">
        <x:v>50</x:v>
      </x:c>
      <x:c r="D39" t="s">
        <x:v>274</x:v>
      </x:c>
      <x:c r="E39" t="s">
        <x:v>175</x:v>
      </x:c>
      <x:c r="F39" t="s">
        <x:v>601</x:v>
      </x:c>
    </x:row>
    <x:row r="40">
      <x:c r="A40" t="s">
        <x:v>289</x:v>
      </x:c>
      <x:c r="B40" t="s">
        <x:v>25</x:v>
      </x:c>
      <x:c r="C40" t="s">
        <x:v>50</x:v>
      </x:c>
      <x:c r="D40" t="s">
        <x:v>274</x:v>
      </x:c>
      <x:c r="E40" t="s">
        <x:v>175</x:v>
      </x:c>
      <x:c r="F40" t="s">
        <x:v>601</x:v>
      </x:c>
    </x:row>
    <x:row r="41">
      <x:c r="A41" t="s">
        <x:v>291</x:v>
      </x:c>
      <x:c r="B41" t="s">
        <x:v>25</x:v>
      </x:c>
      <x:c r="C41" t="s">
        <x:v>50</x:v>
      </x:c>
      <x:c r="D41" t="s">
        <x:v>274</x:v>
      </x:c>
      <x:c r="E41" t="s">
        <x:v>175</x:v>
      </x:c>
      <x:c r="F41" t="s">
        <x:v>601</x:v>
      </x:c>
    </x:row>
    <x:row r="42">
      <x:c r="A42" t="s">
        <x:v>293</x:v>
      </x:c>
      <x:c r="B42" t="s">
        <x:v>25</x:v>
      </x:c>
      <x:c r="C42" t="s">
        <x:v>50</x:v>
      </x:c>
      <x:c r="D42" t="s">
        <x:v>274</x:v>
      </x:c>
      <x:c r="E42" t="s">
        <x:v>175</x:v>
      </x:c>
      <x:c r="F42" t="s">
        <x:v>601</x:v>
      </x:c>
    </x:row>
    <x:row r="43">
      <x:c r="A43" t="s">
        <x:v>295</x:v>
      </x:c>
      <x:c r="B43" t="s">
        <x:v>25</x:v>
      </x:c>
      <x:c r="C43" t="s">
        <x:v>50</x:v>
      </x:c>
      <x:c r="D43" t="s">
        <x:v>274</x:v>
      </x:c>
      <x:c r="E43" t="s">
        <x:v>175</x:v>
      </x:c>
      <x:c r="F43" t="s">
        <x:v>601</x:v>
      </x:c>
    </x:row>
    <x:row r="44">
      <x:c r="A44" t="s">
        <x:v>297</x:v>
      </x:c>
      <x:c r="B44" t="s">
        <x:v>25</x:v>
      </x:c>
      <x:c r="C44" t="s">
        <x:v>50</x:v>
      </x:c>
      <x:c r="D44" t="s">
        <x:v>274</x:v>
      </x:c>
      <x:c r="E44" t="s">
        <x:v>175</x:v>
      </x:c>
      <x:c r="F44" t="s">
        <x:v>601</x:v>
      </x:c>
    </x:row>
    <x:row r="45">
      <x:c r="A45" t="s">
        <x:v>299</x:v>
      </x:c>
      <x:c r="B45" t="s">
        <x:v>25</x:v>
      </x:c>
      <x:c r="C45" t="s">
        <x:v>50</x:v>
      </x:c>
      <x:c r="D45" t="s">
        <x:v>274</x:v>
      </x:c>
      <x:c r="E45" t="s">
        <x:v>175</x:v>
      </x:c>
      <x:c r="F45" t="s">
        <x:v>601</x:v>
      </x:c>
    </x:row>
    <x:row r="46">
      <x:c r="A46" t="s">
        <x:v>301</x:v>
      </x:c>
      <x:c r="B46" t="s">
        <x:v>25</x:v>
      </x:c>
      <x:c r="C46" t="s">
        <x:v>50</x:v>
      </x:c>
      <x:c r="D46" t="s">
        <x:v>274</x:v>
      </x:c>
      <x:c r="E46" t="s">
        <x:v>175</x:v>
      </x:c>
      <x:c r="F46" t="s">
        <x:v>601</x:v>
      </x:c>
    </x:row>
    <x:row r="47">
      <x:c r="A47" t="s">
        <x:v>56</x:v>
      </x:c>
      <x:c r="B47" t="s">
        <x:v>25</x:v>
      </x:c>
      <x:c r="C47" t="s">
        <x:v>54</x:v>
      </x:c>
      <x:c r="D47" t="s">
        <x:v>274</x:v>
      </x:c>
      <x:c r="E47" t="s">
        <x:v>175</x:v>
      </x:c>
      <x:c r="F47" t="s">
        <x:v>601</x:v>
      </x:c>
    </x:row>
    <x:row r="48">
      <x:c r="A48" t="s">
        <x:v>305</x:v>
      </x:c>
      <x:c r="B48" t="s">
        <x:v>25</x:v>
      </x:c>
      <x:c r="C48" t="s">
        <x:v>54</x:v>
      </x:c>
      <x:c r="D48" t="s">
        <x:v>274</x:v>
      </x:c>
      <x:c r="E48" t="s">
        <x:v>175</x:v>
      </x:c>
      <x:c r="F48" t="s">
        <x:v>601</x:v>
      </x:c>
    </x:row>
    <x:row r="49">
      <x:c r="A49" t="s">
        <x:v>307</x:v>
      </x:c>
      <x:c r="B49" t="s">
        <x:v>25</x:v>
      </x:c>
      <x:c r="C49" t="s">
        <x:v>54</x:v>
      </x:c>
      <x:c r="D49" t="s">
        <x:v>274</x:v>
      </x:c>
      <x:c r="E49" t="s">
        <x:v>175</x:v>
      </x:c>
      <x:c r="F49" t="s">
        <x:v>601</x:v>
      </x:c>
    </x:row>
    <x:row r="50">
      <x:c r="A50" t="s">
        <x:v>309</x:v>
      </x:c>
      <x:c r="B50" t="s">
        <x:v>25</x:v>
      </x:c>
      <x:c r="C50" t="s">
        <x:v>54</x:v>
      </x:c>
      <x:c r="D50" t="s">
        <x:v>274</x:v>
      </x:c>
      <x:c r="E50" t="s">
        <x:v>175</x:v>
      </x:c>
      <x:c r="F50" t="s">
        <x:v>601</x:v>
      </x:c>
    </x:row>
    <x:row r="51">
      <x:c r="A51" t="s">
        <x:v>311</x:v>
      </x:c>
      <x:c r="B51" t="s">
        <x:v>25</x:v>
      </x:c>
      <x:c r="C51" t="s">
        <x:v>54</x:v>
      </x:c>
      <x:c r="D51" t="s">
        <x:v>274</x:v>
      </x:c>
      <x:c r="E51" t="s">
        <x:v>175</x:v>
      </x:c>
      <x:c r="F51" t="s">
        <x:v>601</x:v>
      </x:c>
    </x:row>
    <x:row r="52">
      <x:c r="A52" t="s">
        <x:v>313</x:v>
      </x:c>
      <x:c r="B52" t="s">
        <x:v>25</x:v>
      </x:c>
      <x:c r="C52" t="s">
        <x:v>54</x:v>
      </x:c>
      <x:c r="D52" t="s">
        <x:v>274</x:v>
      </x:c>
      <x:c r="E52" t="s">
        <x:v>175</x:v>
      </x:c>
      <x:c r="F52" t="s">
        <x:v>601</x:v>
      </x:c>
    </x:row>
    <x:row r="53">
      <x:c r="A53" t="s">
        <x:v>315</x:v>
      </x:c>
      <x:c r="B53" t="s">
        <x:v>25</x:v>
      </x:c>
      <x:c r="C53" t="s">
        <x:v>54</x:v>
      </x:c>
      <x:c r="D53" t="s">
        <x:v>274</x:v>
      </x:c>
      <x:c r="E53" t="s">
        <x:v>175</x:v>
      </x:c>
      <x:c r="F53" t="s">
        <x:v>601</x:v>
      </x:c>
    </x:row>
    <x:row r="54">
      <x:c r="A54" t="s">
        <x:v>317</x:v>
      </x:c>
      <x:c r="B54" t="s">
        <x:v>25</x:v>
      </x:c>
      <x:c r="C54" t="s">
        <x:v>54</x:v>
      </x:c>
      <x:c r="D54" t="s">
        <x:v>274</x:v>
      </x:c>
      <x:c r="E54" t="s">
        <x:v>175</x:v>
      </x:c>
      <x:c r="F54" t="s">
        <x:v>601</x:v>
      </x:c>
    </x:row>
    <x:row r="55">
      <x:c r="A55" t="s">
        <x:v>319</x:v>
      </x:c>
      <x:c r="B55" t="s">
        <x:v>25</x:v>
      </x:c>
      <x:c r="C55" t="s">
        <x:v>54</x:v>
      </x:c>
      <x:c r="D55" t="s">
        <x:v>274</x:v>
      </x:c>
      <x:c r="E55" t="s">
        <x:v>175</x:v>
      </x:c>
      <x:c r="F55" t="s">
        <x:v>601</x:v>
      </x:c>
    </x:row>
    <x:row r="56">
      <x:c r="A56" t="s">
        <x:v>321</x:v>
      </x:c>
      <x:c r="B56" t="s">
        <x:v>25</x:v>
      </x:c>
      <x:c r="C56" t="s">
        <x:v>54</x:v>
      </x:c>
      <x:c r="D56" t="s">
        <x:v>274</x:v>
      </x:c>
      <x:c r="E56" t="s">
        <x:v>175</x:v>
      </x:c>
      <x:c r="F56" t="s">
        <x:v>601</x:v>
      </x:c>
    </x:row>
    <x:row r="57">
      <x:c r="A57" t="s">
        <x:v>323</x:v>
      </x:c>
      <x:c r="B57" t="s">
        <x:v>25</x:v>
      </x:c>
      <x:c r="C57" t="s">
        <x:v>54</x:v>
      </x:c>
      <x:c r="D57" t="s">
        <x:v>274</x:v>
      </x:c>
      <x:c r="E57" t="s">
        <x:v>175</x:v>
      </x:c>
      <x:c r="F57" t="s">
        <x:v>601</x:v>
      </x:c>
    </x:row>
    <x:row r="58">
      <x:c r="A58" t="s">
        <x:v>325</x:v>
      </x:c>
      <x:c r="B58" t="s">
        <x:v>25</x:v>
      </x:c>
      <x:c r="C58" t="s">
        <x:v>54</x:v>
      </x:c>
      <x:c r="D58" t="s">
        <x:v>274</x:v>
      </x:c>
      <x:c r="E58" t="s">
        <x:v>175</x:v>
      </x:c>
      <x:c r="F58" t="s">
        <x:v>601</x:v>
      </x:c>
    </x:row>
    <x:row r="59">
      <x:c r="A59" t="s">
        <x:v>327</x:v>
      </x:c>
      <x:c r="B59" t="s">
        <x:v>25</x:v>
      </x:c>
      <x:c r="C59" t="s">
        <x:v>54</x:v>
      </x:c>
      <x:c r="D59" t="s">
        <x:v>274</x:v>
      </x:c>
      <x:c r="E59" t="s">
        <x:v>175</x:v>
      </x:c>
      <x:c r="F59" t="s">
        <x:v>601</x:v>
      </x:c>
    </x:row>
    <x:row r="60">
      <x:c r="A60" t="s">
        <x:v>329</x:v>
      </x:c>
      <x:c r="B60" t="s">
        <x:v>25</x:v>
      </x:c>
      <x:c r="C60" t="s">
        <x:v>54</x:v>
      </x:c>
      <x:c r="D60" t="s">
        <x:v>274</x:v>
      </x:c>
      <x:c r="E60" t="s">
        <x:v>175</x:v>
      </x:c>
      <x:c r="F60" t="s">
        <x:v>601</x:v>
      </x:c>
    </x:row>
    <x:row r="61">
      <x:c r="A61" t="s">
        <x:v>60</x:v>
      </x:c>
      <x:c r="B61" t="s">
        <x:v>25</x:v>
      </x:c>
      <x:c r="C61" t="s">
        <x:v>58</x:v>
      </x:c>
      <x:c r="D61" t="s">
        <x:v>274</x:v>
      </x:c>
      <x:c r="E61" t="s">
        <x:v>175</x:v>
      </x:c>
      <x:c r="F61" t="s">
        <x:v>601</x:v>
      </x:c>
    </x:row>
    <x:row r="62">
      <x:c r="A62" t="s">
        <x:v>333</x:v>
      </x:c>
      <x:c r="B62" t="s">
        <x:v>25</x:v>
      </x:c>
      <x:c r="C62" t="s">
        <x:v>58</x:v>
      </x:c>
      <x:c r="D62" t="s">
        <x:v>274</x:v>
      </x:c>
      <x:c r="E62" t="s">
        <x:v>175</x:v>
      </x:c>
      <x:c r="F62" t="s">
        <x:v>601</x:v>
      </x:c>
    </x:row>
    <x:row r="63">
      <x:c r="A63" t="s">
        <x:v>335</x:v>
      </x:c>
      <x:c r="B63" t="s">
        <x:v>25</x:v>
      </x:c>
      <x:c r="C63" t="s">
        <x:v>58</x:v>
      </x:c>
      <x:c r="D63" t="s">
        <x:v>274</x:v>
      </x:c>
      <x:c r="E63" t="s">
        <x:v>175</x:v>
      </x:c>
      <x:c r="F63" t="s">
        <x:v>601</x:v>
      </x:c>
    </x:row>
    <x:row r="64">
      <x:c r="A64" t="s">
        <x:v>337</x:v>
      </x:c>
      <x:c r="B64" t="s">
        <x:v>25</x:v>
      </x:c>
      <x:c r="C64" t="s">
        <x:v>58</x:v>
      </x:c>
      <x:c r="D64" t="s">
        <x:v>274</x:v>
      </x:c>
      <x:c r="E64" t="s">
        <x:v>175</x:v>
      </x:c>
      <x:c r="F64" t="s">
        <x:v>601</x:v>
      </x:c>
    </x:row>
    <x:row r="65">
      <x:c r="A65" t="s">
        <x:v>339</x:v>
      </x:c>
      <x:c r="B65" t="s">
        <x:v>25</x:v>
      </x:c>
      <x:c r="C65" t="s">
        <x:v>58</x:v>
      </x:c>
      <x:c r="D65" t="s">
        <x:v>274</x:v>
      </x:c>
      <x:c r="E65" t="s">
        <x:v>175</x:v>
      </x:c>
      <x:c r="F65" t="s">
        <x:v>601</x:v>
      </x:c>
    </x:row>
    <x:row r="66">
      <x:c r="A66" t="s">
        <x:v>341</x:v>
      </x:c>
      <x:c r="B66" t="s">
        <x:v>25</x:v>
      </x:c>
      <x:c r="C66" t="s">
        <x:v>58</x:v>
      </x:c>
      <x:c r="D66" t="s">
        <x:v>274</x:v>
      </x:c>
      <x:c r="E66" t="s">
        <x:v>175</x:v>
      </x:c>
      <x:c r="F66" t="s">
        <x:v>601</x:v>
      </x:c>
    </x:row>
    <x:row r="67">
      <x:c r="A67" t="s">
        <x:v>343</x:v>
      </x:c>
      <x:c r="B67" t="s">
        <x:v>25</x:v>
      </x:c>
      <x:c r="C67" t="s">
        <x:v>58</x:v>
      </x:c>
      <x:c r="D67" t="s">
        <x:v>274</x:v>
      </x:c>
      <x:c r="E67" t="s">
        <x:v>175</x:v>
      </x:c>
      <x:c r="F67" t="s">
        <x:v>601</x:v>
      </x:c>
    </x:row>
    <x:row r="68">
      <x:c r="A68" t="s">
        <x:v>345</x:v>
      </x:c>
      <x:c r="B68" t="s">
        <x:v>25</x:v>
      </x:c>
      <x:c r="C68" t="s">
        <x:v>58</x:v>
      </x:c>
      <x:c r="D68" t="s">
        <x:v>274</x:v>
      </x:c>
      <x:c r="E68" t="s">
        <x:v>175</x:v>
      </x:c>
      <x:c r="F68" t="s">
        <x:v>601</x:v>
      </x:c>
    </x:row>
    <x:row r="69">
      <x:c r="A69" t="s">
        <x:v>347</x:v>
      </x:c>
      <x:c r="B69" t="s">
        <x:v>25</x:v>
      </x:c>
      <x:c r="C69" t="s">
        <x:v>58</x:v>
      </x:c>
      <x:c r="D69" t="s">
        <x:v>274</x:v>
      </x:c>
      <x:c r="E69" t="s">
        <x:v>175</x:v>
      </x:c>
      <x:c r="F69" t="s">
        <x:v>601</x:v>
      </x:c>
    </x:row>
    <x:row r="70">
      <x:c r="A70" t="s">
        <x:v>349</x:v>
      </x:c>
      <x:c r="B70" t="s">
        <x:v>25</x:v>
      </x:c>
      <x:c r="C70" t="s">
        <x:v>58</x:v>
      </x:c>
      <x:c r="D70" t="s">
        <x:v>274</x:v>
      </x:c>
      <x:c r="E70" t="s">
        <x:v>175</x:v>
      </x:c>
      <x:c r="F70" t="s">
        <x:v>601</x:v>
      </x:c>
    </x:row>
    <x:row r="71">
      <x:c r="A71" t="s">
        <x:v>351</x:v>
      </x:c>
      <x:c r="B71" t="s">
        <x:v>25</x:v>
      </x:c>
      <x:c r="C71" t="s">
        <x:v>58</x:v>
      </x:c>
      <x:c r="D71" t="s">
        <x:v>274</x:v>
      </x:c>
      <x:c r="E71" t="s">
        <x:v>175</x:v>
      </x:c>
      <x:c r="F71" t="s">
        <x:v>601</x:v>
      </x:c>
    </x:row>
    <x:row r="72">
      <x:c r="A72" t="s">
        <x:v>353</x:v>
      </x:c>
      <x:c r="B72" t="s">
        <x:v>25</x:v>
      </x:c>
      <x:c r="C72" t="s">
        <x:v>58</x:v>
      </x:c>
      <x:c r="D72" t="s">
        <x:v>274</x:v>
      </x:c>
      <x:c r="E72" t="s">
        <x:v>175</x:v>
      </x:c>
      <x:c r="F72" t="s">
        <x:v>601</x:v>
      </x:c>
    </x:row>
    <x:row r="73">
      <x:c r="A73" t="s">
        <x:v>355</x:v>
      </x:c>
      <x:c r="B73" t="s">
        <x:v>25</x:v>
      </x:c>
      <x:c r="C73" t="s">
        <x:v>58</x:v>
      </x:c>
      <x:c r="D73" t="s">
        <x:v>274</x:v>
      </x:c>
      <x:c r="E73" t="s">
        <x:v>175</x:v>
      </x:c>
      <x:c r="F73" t="s">
        <x:v>601</x:v>
      </x:c>
    </x:row>
    <x:row r="74">
      <x:c r="A74" t="s">
        <x:v>357</x:v>
      </x:c>
      <x:c r="B74" t="s">
        <x:v>25</x:v>
      </x:c>
      <x:c r="C74" t="s">
        <x:v>58</x:v>
      </x:c>
      <x:c r="D74" t="s">
        <x:v>274</x:v>
      </x:c>
      <x:c r="E74" t="s">
        <x:v>175</x:v>
      </x:c>
      <x:c r="F74" t="s">
        <x:v>601</x:v>
      </x:c>
    </x:row>
    <x:row r="75">
      <x:c r="A75" t="s">
        <x:v>64</x:v>
      </x:c>
      <x:c r="B75" t="s">
        <x:v>25</x:v>
      </x:c>
      <x:c r="C75" t="s">
        <x:v>62</x:v>
      </x:c>
      <x:c r="D75" t="s">
        <x:v>274</x:v>
      </x:c>
      <x:c r="E75" t="s">
        <x:v>175</x:v>
      </x:c>
      <x:c r="F75" t="s">
        <x:v>601</x:v>
      </x:c>
    </x:row>
    <x:row r="76">
      <x:c r="A76" t="s">
        <x:v>360</x:v>
      </x:c>
      <x:c r="B76" t="s">
        <x:v>25</x:v>
      </x:c>
      <x:c r="C76" t="s">
        <x:v>62</x:v>
      </x:c>
      <x:c r="D76" t="s">
        <x:v>274</x:v>
      </x:c>
      <x:c r="E76" t="s">
        <x:v>175</x:v>
      </x:c>
      <x:c r="F76" t="s">
        <x:v>601</x:v>
      </x:c>
    </x:row>
    <x:row r="77">
      <x:c r="A77" t="s">
        <x:v>362</x:v>
      </x:c>
      <x:c r="B77" t="s">
        <x:v>25</x:v>
      </x:c>
      <x:c r="C77" t="s">
        <x:v>62</x:v>
      </x:c>
      <x:c r="D77" t="s">
        <x:v>274</x:v>
      </x:c>
      <x:c r="E77" t="s">
        <x:v>175</x:v>
      </x:c>
      <x:c r="F77" t="s">
        <x:v>601</x:v>
      </x:c>
    </x:row>
    <x:row r="78">
      <x:c r="A78" t="s">
        <x:v>364</x:v>
      </x:c>
      <x:c r="B78" t="s">
        <x:v>25</x:v>
      </x:c>
      <x:c r="C78" t="s">
        <x:v>62</x:v>
      </x:c>
      <x:c r="D78" t="s">
        <x:v>274</x:v>
      </x:c>
      <x:c r="E78" t="s">
        <x:v>175</x:v>
      </x:c>
      <x:c r="F78" t="s">
        <x:v>601</x:v>
      </x:c>
    </x:row>
    <x:row r="79">
      <x:c r="A79" t="s">
        <x:v>366</x:v>
      </x:c>
      <x:c r="B79" t="s">
        <x:v>25</x:v>
      </x:c>
      <x:c r="C79" t="s">
        <x:v>62</x:v>
      </x:c>
      <x:c r="D79" t="s">
        <x:v>274</x:v>
      </x:c>
      <x:c r="E79" t="s">
        <x:v>175</x:v>
      </x:c>
      <x:c r="F79" t="s">
        <x:v>601</x:v>
      </x:c>
    </x:row>
    <x:row r="80">
      <x:c r="A80" t="s">
        <x:v>368</x:v>
      </x:c>
      <x:c r="B80" t="s">
        <x:v>25</x:v>
      </x:c>
      <x:c r="C80" t="s">
        <x:v>62</x:v>
      </x:c>
      <x:c r="D80" t="s">
        <x:v>274</x:v>
      </x:c>
      <x:c r="E80" t="s">
        <x:v>175</x:v>
      </x:c>
      <x:c r="F80" t="s">
        <x:v>601</x:v>
      </x:c>
    </x:row>
    <x:row r="81">
      <x:c r="A81" t="s">
        <x:v>370</x:v>
      </x:c>
      <x:c r="B81" t="s">
        <x:v>25</x:v>
      </x:c>
      <x:c r="C81" t="s">
        <x:v>62</x:v>
      </x:c>
      <x:c r="D81" t="s">
        <x:v>274</x:v>
      </x:c>
      <x:c r="E81" t="s">
        <x:v>175</x:v>
      </x:c>
      <x:c r="F81" t="s">
        <x:v>601</x:v>
      </x:c>
    </x:row>
    <x:row r="82">
      <x:c r="A82" t="s">
        <x:v>372</x:v>
      </x:c>
      <x:c r="B82" t="s">
        <x:v>25</x:v>
      </x:c>
      <x:c r="C82" t="s">
        <x:v>62</x:v>
      </x:c>
      <x:c r="D82" t="s">
        <x:v>274</x:v>
      </x:c>
      <x:c r="E82" t="s">
        <x:v>175</x:v>
      </x:c>
      <x:c r="F82" t="s">
        <x:v>601</x:v>
      </x:c>
    </x:row>
    <x:row r="83">
      <x:c r="A83" t="s">
        <x:v>374</x:v>
      </x:c>
      <x:c r="B83" t="s">
        <x:v>25</x:v>
      </x:c>
      <x:c r="C83" t="s">
        <x:v>62</x:v>
      </x:c>
      <x:c r="D83" t="s">
        <x:v>274</x:v>
      </x:c>
      <x:c r="E83" t="s">
        <x:v>175</x:v>
      </x:c>
      <x:c r="F83" t="s">
        <x:v>601</x:v>
      </x:c>
    </x:row>
    <x:row r="84">
      <x:c r="A84" t="s">
        <x:v>376</x:v>
      </x:c>
      <x:c r="B84" t="s">
        <x:v>25</x:v>
      </x:c>
      <x:c r="C84" t="s">
        <x:v>62</x:v>
      </x:c>
      <x:c r="D84" t="s">
        <x:v>274</x:v>
      </x:c>
      <x:c r="E84" t="s">
        <x:v>175</x:v>
      </x:c>
      <x:c r="F84" t="s">
        <x:v>601</x:v>
      </x:c>
    </x:row>
    <x:row r="85">
      <x:c r="A85" t="s">
        <x:v>378</x:v>
      </x:c>
      <x:c r="B85" t="s">
        <x:v>25</x:v>
      </x:c>
      <x:c r="C85" t="s">
        <x:v>62</x:v>
      </x:c>
      <x:c r="D85" t="s">
        <x:v>274</x:v>
      </x:c>
      <x:c r="E85" t="s">
        <x:v>175</x:v>
      </x:c>
      <x:c r="F85" t="s">
        <x:v>601</x:v>
      </x:c>
    </x:row>
    <x:row r="86">
      <x:c r="A86" t="s">
        <x:v>380</x:v>
      </x:c>
      <x:c r="B86" t="s">
        <x:v>25</x:v>
      </x:c>
      <x:c r="C86" t="s">
        <x:v>62</x:v>
      </x:c>
      <x:c r="D86" t="s">
        <x:v>274</x:v>
      </x:c>
      <x:c r="E86" t="s">
        <x:v>175</x:v>
      </x:c>
      <x:c r="F86" t="s">
        <x:v>601</x:v>
      </x:c>
    </x:row>
    <x:row r="87">
      <x:c r="A87" t="s">
        <x:v>68</x:v>
      </x:c>
      <x:c r="B87" t="s">
        <x:v>25</x:v>
      </x:c>
      <x:c r="C87" t="s">
        <x:v>66</x:v>
      </x:c>
      <x:c r="D87" t="s">
        <x:v>274</x:v>
      </x:c>
      <x:c r="E87" t="s">
        <x:v>175</x:v>
      </x:c>
      <x:c r="F87" t="s">
        <x:v>601</x:v>
      </x:c>
    </x:row>
    <x:row r="88">
      <x:c r="A88" t="s">
        <x:v>384</x:v>
      </x:c>
      <x:c r="B88" t="s">
        <x:v>25</x:v>
      </x:c>
      <x:c r="C88" t="s">
        <x:v>66</x:v>
      </x:c>
      <x:c r="D88" t="s">
        <x:v>274</x:v>
      </x:c>
      <x:c r="E88" t="s">
        <x:v>175</x:v>
      </x:c>
      <x:c r="F88" t="s">
        <x:v>601</x:v>
      </x:c>
    </x:row>
    <x:row r="89">
      <x:c r="A89" t="s">
        <x:v>386</x:v>
      </x:c>
      <x:c r="B89" t="s">
        <x:v>25</x:v>
      </x:c>
      <x:c r="C89" t="s">
        <x:v>66</x:v>
      </x:c>
      <x:c r="D89" t="s">
        <x:v>274</x:v>
      </x:c>
      <x:c r="E89" t="s">
        <x:v>175</x:v>
      </x:c>
      <x:c r="F89" t="s">
        <x:v>601</x:v>
      </x:c>
    </x:row>
    <x:row r="90">
      <x:c r="A90" t="s">
        <x:v>388</x:v>
      </x:c>
      <x:c r="B90" t="s">
        <x:v>25</x:v>
      </x:c>
      <x:c r="C90" t="s">
        <x:v>66</x:v>
      </x:c>
      <x:c r="D90" t="s">
        <x:v>274</x:v>
      </x:c>
      <x:c r="E90" t="s">
        <x:v>175</x:v>
      </x:c>
      <x:c r="F90" t="s">
        <x:v>601</x:v>
      </x:c>
    </x:row>
    <x:row r="91">
      <x:c r="A91" t="s">
        <x:v>390</x:v>
      </x:c>
      <x:c r="B91" t="s">
        <x:v>25</x:v>
      </x:c>
      <x:c r="C91" t="s">
        <x:v>66</x:v>
      </x:c>
      <x:c r="D91" t="s">
        <x:v>274</x:v>
      </x:c>
      <x:c r="E91" t="s">
        <x:v>175</x:v>
      </x:c>
      <x:c r="F91" t="s">
        <x:v>601</x:v>
      </x:c>
    </x:row>
    <x:row r="92">
      <x:c r="A92" t="s">
        <x:v>392</x:v>
      </x:c>
      <x:c r="B92" t="s">
        <x:v>25</x:v>
      </x:c>
      <x:c r="C92" t="s">
        <x:v>66</x:v>
      </x:c>
      <x:c r="D92" t="s">
        <x:v>274</x:v>
      </x:c>
      <x:c r="E92" t="s">
        <x:v>175</x:v>
      </x:c>
      <x:c r="F92" t="s">
        <x:v>601</x:v>
      </x:c>
    </x:row>
    <x:row r="93">
      <x:c r="A93" t="s">
        <x:v>394</x:v>
      </x:c>
      <x:c r="B93" t="s">
        <x:v>25</x:v>
      </x:c>
      <x:c r="C93" t="s">
        <x:v>66</x:v>
      </x:c>
      <x:c r="D93" t="s">
        <x:v>274</x:v>
      </x:c>
      <x:c r="E93" t="s">
        <x:v>175</x:v>
      </x:c>
      <x:c r="F93" t="s">
        <x:v>601</x:v>
      </x:c>
    </x:row>
    <x:row r="94">
      <x:c r="A94" t="s">
        <x:v>396</x:v>
      </x:c>
      <x:c r="B94" t="s">
        <x:v>25</x:v>
      </x:c>
      <x:c r="C94" t="s">
        <x:v>66</x:v>
      </x:c>
      <x:c r="D94" t="s">
        <x:v>274</x:v>
      </x:c>
      <x:c r="E94" t="s">
        <x:v>175</x:v>
      </x:c>
      <x:c r="F94" t="s">
        <x:v>601</x:v>
      </x:c>
    </x:row>
    <x:row r="95">
      <x:c r="A95" t="s">
        <x:v>398</x:v>
      </x:c>
      <x:c r="B95" t="s">
        <x:v>25</x:v>
      </x:c>
      <x:c r="C95" t="s">
        <x:v>66</x:v>
      </x:c>
      <x:c r="D95" t="s">
        <x:v>274</x:v>
      </x:c>
      <x:c r="E95" t="s">
        <x:v>175</x:v>
      </x:c>
      <x:c r="F95" t="s">
        <x:v>601</x:v>
      </x:c>
    </x:row>
    <x:row r="96">
      <x:c r="A96" t="s">
        <x:v>400</x:v>
      </x:c>
      <x:c r="B96" t="s">
        <x:v>25</x:v>
      </x:c>
      <x:c r="C96" t="s">
        <x:v>66</x:v>
      </x:c>
      <x:c r="D96" t="s">
        <x:v>274</x:v>
      </x:c>
      <x:c r="E96" t="s">
        <x:v>175</x:v>
      </x:c>
      <x:c r="F96" t="s">
        <x:v>601</x:v>
      </x:c>
    </x:row>
    <x:row r="97">
      <x:c r="A97" t="s">
        <x:v>402</x:v>
      </x:c>
      <x:c r="B97" t="s">
        <x:v>25</x:v>
      </x:c>
      <x:c r="C97" t="s">
        <x:v>66</x:v>
      </x:c>
      <x:c r="D97" t="s">
        <x:v>274</x:v>
      </x:c>
      <x:c r="E97" t="s">
        <x:v>175</x:v>
      </x:c>
      <x:c r="F97" t="s">
        <x:v>601</x:v>
      </x:c>
    </x:row>
    <x:row r="98">
      <x:c r="A98" t="s">
        <x:v>404</x:v>
      </x:c>
      <x:c r="B98" t="s">
        <x:v>25</x:v>
      </x:c>
      <x:c r="C98" t="s">
        <x:v>66</x:v>
      </x:c>
      <x:c r="D98" t="s">
        <x:v>274</x:v>
      </x:c>
      <x:c r="E98" t="s">
        <x:v>175</x:v>
      </x:c>
      <x:c r="F98" t="s">
        <x:v>601</x:v>
      </x:c>
    </x:row>
    <x:row r="99">
      <x:c r="A99" t="s">
        <x:v>72</x:v>
      </x:c>
      <x:c r="B99" t="s">
        <x:v>31</x:v>
      </x:c>
      <x:c r="C99" t="s">
        <x:v>70</x:v>
      </x:c>
      <x:c r="D99" t="s">
        <x:v>274</x:v>
      </x:c>
      <x:c r="E99" t="s">
        <x:v>175</x:v>
      </x:c>
      <x:c r="F99" t="s">
        <x:v>601</x:v>
      </x:c>
    </x:row>
    <x:row r="100">
      <x:c r="A100" t="s">
        <x:v>409</x:v>
      </x:c>
      <x:c r="B100" t="s">
        <x:v>31</x:v>
      </x:c>
      <x:c r="C100" t="s">
        <x:v>70</x:v>
      </x:c>
      <x:c r="D100" t="s">
        <x:v>274</x:v>
      </x:c>
      <x:c r="E100" t="s">
        <x:v>175</x:v>
      </x:c>
      <x:c r="F100" t="s">
        <x:v>601</x:v>
      </x:c>
    </x:row>
    <x:row r="101">
      <x:c r="A101" t="s">
        <x:v>411</x:v>
      </x:c>
      <x:c r="B101" t="s">
        <x:v>31</x:v>
      </x:c>
      <x:c r="C101" t="s">
        <x:v>70</x:v>
      </x:c>
      <x:c r="D101" t="s">
        <x:v>274</x:v>
      </x:c>
      <x:c r="E101" t="s">
        <x:v>175</x:v>
      </x:c>
      <x:c r="F101" t="s">
        <x:v>601</x:v>
      </x:c>
    </x:row>
    <x:row r="102">
      <x:c r="A102" t="s">
        <x:v>413</x:v>
      </x:c>
      <x:c r="B102" t="s">
        <x:v>31</x:v>
      </x:c>
      <x:c r="C102" t="s">
        <x:v>70</x:v>
      </x:c>
      <x:c r="D102" t="s">
        <x:v>274</x:v>
      </x:c>
      <x:c r="E102" t="s">
        <x:v>175</x:v>
      </x:c>
      <x:c r="F102" t="s">
        <x:v>601</x:v>
      </x:c>
    </x:row>
    <x:row r="103">
      <x:c r="A103" t="s">
        <x:v>415</x:v>
      </x:c>
      <x:c r="B103" t="s">
        <x:v>31</x:v>
      </x:c>
      <x:c r="C103" t="s">
        <x:v>70</x:v>
      </x:c>
      <x:c r="D103" t="s">
        <x:v>274</x:v>
      </x:c>
      <x:c r="E103" t="s">
        <x:v>175</x:v>
      </x:c>
      <x:c r="F103" t="s">
        <x:v>601</x:v>
      </x:c>
    </x:row>
    <x:row r="104">
      <x:c r="A104" t="s">
        <x:v>76</x:v>
      </x:c>
      <x:c r="B104" t="s">
        <x:v>31</x:v>
      </x:c>
      <x:c r="C104" t="s">
        <x:v>74</x:v>
      </x:c>
      <x:c r="D104" t="s">
        <x:v>274</x:v>
      </x:c>
      <x:c r="E104" t="s">
        <x:v>175</x:v>
      </x:c>
      <x:c r="F104" t="s">
        <x:v>601</x:v>
      </x:c>
    </x:row>
    <x:row r="105">
      <x:c r="A105" t="s">
        <x:v>419</x:v>
      </x:c>
      <x:c r="B105" t="s">
        <x:v>31</x:v>
      </x:c>
      <x:c r="C105" t="s">
        <x:v>74</x:v>
      </x:c>
      <x:c r="D105" t="s">
        <x:v>274</x:v>
      </x:c>
      <x:c r="E105" t="s">
        <x:v>175</x:v>
      </x:c>
      <x:c r="F105" t="s">
        <x:v>601</x:v>
      </x:c>
    </x:row>
    <x:row r="106">
      <x:c r="A106" t="s">
        <x:v>421</x:v>
      </x:c>
      <x:c r="B106" t="s">
        <x:v>31</x:v>
      </x:c>
      <x:c r="C106" t="s">
        <x:v>74</x:v>
      </x:c>
      <x:c r="D106" t="s">
        <x:v>274</x:v>
      </x:c>
      <x:c r="E106" t="s">
        <x:v>175</x:v>
      </x:c>
      <x:c r="F106" t="s">
        <x:v>601</x:v>
      </x:c>
    </x:row>
    <x:row r="107">
      <x:c r="A107" t="s">
        <x:v>423</x:v>
      </x:c>
      <x:c r="B107" t="s">
        <x:v>31</x:v>
      </x:c>
      <x:c r="C107" t="s">
        <x:v>74</x:v>
      </x:c>
      <x:c r="D107" t="s">
        <x:v>274</x:v>
      </x:c>
      <x:c r="E107" t="s">
        <x:v>175</x:v>
      </x:c>
      <x:c r="F107" t="s">
        <x:v>601</x:v>
      </x:c>
    </x:row>
    <x:row r="108">
      <x:c r="A108" t="s">
        <x:v>425</x:v>
      </x:c>
      <x:c r="B108" t="s">
        <x:v>31</x:v>
      </x:c>
      <x:c r="C108" t="s">
        <x:v>74</x:v>
      </x:c>
      <x:c r="D108" t="s">
        <x:v>274</x:v>
      </x:c>
      <x:c r="E108" t="s">
        <x:v>175</x:v>
      </x:c>
      <x:c r="F108" t="s">
        <x:v>601</x:v>
      </x:c>
    </x:row>
    <x:row r="109">
      <x:c r="A109" t="s">
        <x:v>80</x:v>
      </x:c>
      <x:c r="B109" t="s">
        <x:v>31</x:v>
      </x:c>
      <x:c r="C109" t="s">
        <x:v>78</x:v>
      </x:c>
      <x:c r="D109" t="s">
        <x:v>274</x:v>
      </x:c>
      <x:c r="E109" t="s">
        <x:v>175</x:v>
      </x:c>
      <x:c r="F109" t="s">
        <x:v>601</x:v>
      </x:c>
    </x:row>
    <x:row r="110">
      <x:c r="A110" t="s">
        <x:v>429</x:v>
      </x:c>
      <x:c r="B110" t="s">
        <x:v>31</x:v>
      </x:c>
      <x:c r="C110" t="s">
        <x:v>78</x:v>
      </x:c>
      <x:c r="D110" t="s">
        <x:v>274</x:v>
      </x:c>
      <x:c r="E110" t="s">
        <x:v>175</x:v>
      </x:c>
      <x:c r="F110" t="s">
        <x:v>601</x:v>
      </x:c>
    </x:row>
    <x:row r="111">
      <x:c r="A111" t="s">
        <x:v>431</x:v>
      </x:c>
      <x:c r="B111" t="s">
        <x:v>31</x:v>
      </x:c>
      <x:c r="C111" t="s">
        <x:v>78</x:v>
      </x:c>
      <x:c r="D111" t="s">
        <x:v>274</x:v>
      </x:c>
      <x:c r="E111" t="s">
        <x:v>175</x:v>
      </x:c>
      <x:c r="F111" t="s">
        <x:v>601</x:v>
      </x:c>
    </x:row>
    <x:row r="112">
      <x:c r="A112" t="s">
        <x:v>433</x:v>
      </x:c>
      <x:c r="B112" t="s">
        <x:v>31</x:v>
      </x:c>
      <x:c r="C112" t="s">
        <x:v>78</x:v>
      </x:c>
      <x:c r="D112" t="s">
        <x:v>274</x:v>
      </x:c>
      <x:c r="E112" t="s">
        <x:v>175</x:v>
      </x:c>
      <x:c r="F112" t="s">
        <x:v>601</x:v>
      </x:c>
    </x:row>
    <x:row r="113">
      <x:c r="A113" t="s">
        <x:v>435</x:v>
      </x:c>
      <x:c r="B113" t="s">
        <x:v>31</x:v>
      </x:c>
      <x:c r="C113" t="s">
        <x:v>78</x:v>
      </x:c>
      <x:c r="D113" t="s">
        <x:v>274</x:v>
      </x:c>
      <x:c r="E113" t="s">
        <x:v>175</x:v>
      </x:c>
      <x:c r="F113" t="s">
        <x:v>601</x:v>
      </x:c>
    </x:row>
    <x:row r="114">
      <x:c r="A114" t="s">
        <x:v>84</x:v>
      </x:c>
      <x:c r="B114" t="s">
        <x:v>31</x:v>
      </x:c>
      <x:c r="C114" t="s">
        <x:v>82</x:v>
      </x:c>
      <x:c r="D114" t="s">
        <x:v>274</x:v>
      </x:c>
      <x:c r="E114" t="s">
        <x:v>175</x:v>
      </x:c>
      <x:c r="F114" t="s">
        <x:v>601</x:v>
      </x:c>
    </x:row>
    <x:row r="115">
      <x:c r="A115" t="s">
        <x:v>438</x:v>
      </x:c>
      <x:c r="B115" t="s">
        <x:v>31</x:v>
      </x:c>
      <x:c r="C115" t="s">
        <x:v>82</x:v>
      </x:c>
      <x:c r="D115" t="s">
        <x:v>274</x:v>
      </x:c>
      <x:c r="E115" t="s">
        <x:v>175</x:v>
      </x:c>
      <x:c r="F115" t="s">
        <x:v>601</x:v>
      </x:c>
    </x:row>
    <x:row r="116">
      <x:c r="A116" t="s">
        <x:v>440</x:v>
      </x:c>
      <x:c r="B116" t="s">
        <x:v>31</x:v>
      </x:c>
      <x:c r="C116" t="s">
        <x:v>82</x:v>
      </x:c>
      <x:c r="D116" t="s">
        <x:v>274</x:v>
      </x:c>
      <x:c r="E116" t="s">
        <x:v>175</x:v>
      </x:c>
      <x:c r="F116" t="s">
        <x:v>601</x:v>
      </x:c>
    </x:row>
    <x:row r="117">
      <x:c r="A117" t="s">
        <x:v>442</x:v>
      </x:c>
      <x:c r="B117" t="s">
        <x:v>31</x:v>
      </x:c>
      <x:c r="C117" t="s">
        <x:v>82</x:v>
      </x:c>
      <x:c r="D117" t="s">
        <x:v>274</x:v>
      </x:c>
      <x:c r="E117" t="s">
        <x:v>175</x:v>
      </x:c>
      <x:c r="F117" t="s">
        <x:v>601</x:v>
      </x:c>
    </x:row>
    <x:row r="118">
      <x:c r="A118" t="s">
        <x:v>88</x:v>
      </x:c>
      <x:c r="B118" t="s">
        <x:v>31</x:v>
      </x:c>
      <x:c r="C118" t="s">
        <x:v>86</x:v>
      </x:c>
      <x:c r="D118" t="s">
        <x:v>274</x:v>
      </x:c>
      <x:c r="E118" t="s">
        <x:v>175</x:v>
      </x:c>
      <x:c r="F118" t="s">
        <x:v>601</x:v>
      </x:c>
    </x:row>
    <x:row r="119">
      <x:c r="A119" t="s">
        <x:v>445</x:v>
      </x:c>
      <x:c r="B119" t="s">
        <x:v>31</x:v>
      </x:c>
      <x:c r="C119" t="s">
        <x:v>86</x:v>
      </x:c>
      <x:c r="D119" t="s">
        <x:v>274</x:v>
      </x:c>
      <x:c r="E119" t="s">
        <x:v>175</x:v>
      </x:c>
      <x:c r="F119" t="s">
        <x:v>601</x:v>
      </x:c>
    </x:row>
    <x:row r="120">
      <x:c r="A120" t="s">
        <x:v>447</x:v>
      </x:c>
      <x:c r="B120" t="s">
        <x:v>31</x:v>
      </x:c>
      <x:c r="C120" t="s">
        <x:v>86</x:v>
      </x:c>
      <x:c r="D120" t="s">
        <x:v>274</x:v>
      </x:c>
      <x:c r="E120" t="s">
        <x:v>175</x:v>
      </x:c>
      <x:c r="F120" t="s">
        <x:v>601</x:v>
      </x:c>
    </x:row>
    <x:row r="121">
      <x:c r="A121" t="s">
        <x:v>449</x:v>
      </x:c>
      <x:c r="B121" t="s">
        <x:v>31</x:v>
      </x:c>
      <x:c r="C121" t="s">
        <x:v>86</x:v>
      </x:c>
      <x:c r="D121" t="s">
        <x:v>274</x:v>
      </x:c>
      <x:c r="E121" t="s">
        <x:v>175</x:v>
      </x:c>
      <x:c r="F121" t="s">
        <x:v>601</x:v>
      </x:c>
    </x:row>
    <x:row r="122">
      <x:c r="A122" t="s">
        <x:v>451</x:v>
      </x:c>
      <x:c r="B122" t="s">
        <x:v>31</x:v>
      </x:c>
      <x:c r="C122" t="s">
        <x:v>86</x:v>
      </x:c>
      <x:c r="D122" t="s">
        <x:v>274</x:v>
      </x:c>
      <x:c r="E122" t="s">
        <x:v>175</x:v>
      </x:c>
      <x:c r="F122" t="s">
        <x:v>601</x:v>
      </x:c>
    </x:row>
    <x:row r="123">
      <x:c r="A123" t="s">
        <x:v>92</x:v>
      </x:c>
      <x:c r="B123" t="s">
        <x:v>31</x:v>
      </x:c>
      <x:c r="C123" t="s">
        <x:v>90</x:v>
      </x:c>
      <x:c r="D123" t="s">
        <x:v>274</x:v>
      </x:c>
      <x:c r="E123" t="s">
        <x:v>175</x:v>
      </x:c>
      <x:c r="F123" t="s">
        <x:v>601</x:v>
      </x:c>
    </x:row>
    <x:row r="124">
      <x:c r="A124" t="s">
        <x:v>454</x:v>
      </x:c>
      <x:c r="B124" t="s">
        <x:v>31</x:v>
      </x:c>
      <x:c r="C124" t="s">
        <x:v>90</x:v>
      </x:c>
      <x:c r="D124" t="s">
        <x:v>274</x:v>
      </x:c>
      <x:c r="E124" t="s">
        <x:v>175</x:v>
      </x:c>
      <x:c r="F124" t="s">
        <x:v>601</x:v>
      </x:c>
    </x:row>
    <x:row r="125">
      <x:c r="A125" t="s">
        <x:v>456</x:v>
      </x:c>
      <x:c r="B125" t="s">
        <x:v>31</x:v>
      </x:c>
      <x:c r="C125" t="s">
        <x:v>90</x:v>
      </x:c>
      <x:c r="D125" t="s">
        <x:v>274</x:v>
      </x:c>
      <x:c r="E125" t="s">
        <x:v>175</x:v>
      </x:c>
      <x:c r="F125" t="s">
        <x:v>601</x:v>
      </x:c>
    </x:row>
    <x:row r="126">
      <x:c r="A126" t="s">
        <x:v>458</x:v>
      </x:c>
      <x:c r="B126" t="s">
        <x:v>31</x:v>
      </x:c>
      <x:c r="C126" t="s">
        <x:v>90</x:v>
      </x:c>
      <x:c r="D126" t="s">
        <x:v>274</x:v>
      </x:c>
      <x:c r="E126" t="s">
        <x:v>175</x:v>
      </x:c>
      <x:c r="F126" t="s">
        <x:v>601</x:v>
      </x:c>
    </x:row>
    <x:row r="127">
      <x:c r="A127" t="s">
        <x:v>460</x:v>
      </x:c>
      <x:c r="B127" t="s">
        <x:v>31</x:v>
      </x:c>
      <x:c r="C127" t="s">
        <x:v>90</x:v>
      </x:c>
      <x:c r="D127" t="s">
        <x:v>274</x:v>
      </x:c>
      <x:c r="E127" t="s">
        <x:v>175</x:v>
      </x:c>
      <x:c r="F127" t="s">
        <x:v>601</x:v>
      </x:c>
    </x:row>
    <x:row r="128">
      <x:c r="A128" t="s">
        <x:v>96</x:v>
      </x:c>
      <x:c r="B128" t="s">
        <x:v>31</x:v>
      </x:c>
      <x:c r="C128" t="s">
        <x:v>94</x:v>
      </x:c>
      <x:c r="D128" t="s">
        <x:v>274</x:v>
      </x:c>
      <x:c r="E128" t="s">
        <x:v>175</x:v>
      </x:c>
      <x:c r="F128" t="s">
        <x:v>601</x:v>
      </x:c>
    </x:row>
    <x:row r="129">
      <x:c r="A129" t="s">
        <x:v>463</x:v>
      </x:c>
      <x:c r="B129" t="s">
        <x:v>31</x:v>
      </x:c>
      <x:c r="C129" t="s">
        <x:v>94</x:v>
      </x:c>
      <x:c r="D129" t="s">
        <x:v>274</x:v>
      </x:c>
      <x:c r="E129" t="s">
        <x:v>175</x:v>
      </x:c>
      <x:c r="F129" t="s">
        <x:v>601</x:v>
      </x:c>
    </x:row>
    <x:row r="130">
      <x:c r="A130" t="s">
        <x:v>465</x:v>
      </x:c>
      <x:c r="B130" t="s">
        <x:v>31</x:v>
      </x:c>
      <x:c r="C130" t="s">
        <x:v>94</x:v>
      </x:c>
      <x:c r="D130" t="s">
        <x:v>274</x:v>
      </x:c>
      <x:c r="E130" t="s">
        <x:v>175</x:v>
      </x:c>
      <x:c r="F130" t="s">
        <x:v>601</x:v>
      </x:c>
    </x:row>
    <x:row r="131">
      <x:c r="A131" t="s">
        <x:v>467</x:v>
      </x:c>
      <x:c r="B131" t="s">
        <x:v>31</x:v>
      </x:c>
      <x:c r="C131" t="s">
        <x:v>94</x:v>
      </x:c>
      <x:c r="D131" t="s">
        <x:v>274</x:v>
      </x:c>
      <x:c r="E131" t="s">
        <x:v>175</x:v>
      </x:c>
      <x:c r="F131" t="s">
        <x:v>601</x:v>
      </x:c>
    </x:row>
    <x:row r="132">
      <x:c r="A132" t="s">
        <x:v>469</x:v>
      </x:c>
      <x:c r="B132" t="s">
        <x:v>31</x:v>
      </x:c>
      <x:c r="C132" t="s">
        <x:v>94</x:v>
      </x:c>
      <x:c r="D132" t="s">
        <x:v>274</x:v>
      </x:c>
      <x:c r="E132" t="s">
        <x:v>175</x:v>
      </x:c>
      <x:c r="F132" t="s">
        <x:v>601</x:v>
      </x:c>
    </x:row>
    <x:row r="133">
      <x:c r="A133" t="s">
        <x:v>100</x:v>
      </x:c>
      <x:c r="B133" t="s">
        <x:v>31</x:v>
      </x:c>
      <x:c r="C133" t="s">
        <x:v>98</x:v>
      </x:c>
      <x:c r="D133" t="s">
        <x:v>274</x:v>
      </x:c>
      <x:c r="E133" t="s">
        <x:v>175</x:v>
      </x:c>
      <x:c r="F133" t="s">
        <x:v>601</x:v>
      </x:c>
    </x:row>
    <x:row r="134">
      <x:c r="A134" t="s">
        <x:v>472</x:v>
      </x:c>
      <x:c r="B134" t="s">
        <x:v>31</x:v>
      </x:c>
      <x:c r="C134" t="s">
        <x:v>98</x:v>
      </x:c>
      <x:c r="D134" t="s">
        <x:v>274</x:v>
      </x:c>
      <x:c r="E134" t="s">
        <x:v>175</x:v>
      </x:c>
      <x:c r="F134" t="s">
        <x:v>601</x:v>
      </x:c>
    </x:row>
    <x:row r="135">
      <x:c r="A135" t="s">
        <x:v>474</x:v>
      </x:c>
      <x:c r="B135" t="s">
        <x:v>31</x:v>
      </x:c>
      <x:c r="C135" t="s">
        <x:v>98</x:v>
      </x:c>
      <x:c r="D135" t="s">
        <x:v>274</x:v>
      </x:c>
      <x:c r="E135" t="s">
        <x:v>175</x:v>
      </x:c>
      <x:c r="F135" t="s">
        <x:v>601</x:v>
      </x:c>
    </x:row>
    <x:row r="136">
      <x:c r="A136" t="s">
        <x:v>476</x:v>
      </x:c>
      <x:c r="B136" t="s">
        <x:v>31</x:v>
      </x:c>
      <x:c r="C136" t="s">
        <x:v>98</x:v>
      </x:c>
      <x:c r="D136" t="s">
        <x:v>274</x:v>
      </x:c>
      <x:c r="E136" t="s">
        <x:v>175</x:v>
      </x:c>
      <x:c r="F136" t="s">
        <x:v>601</x:v>
      </x:c>
    </x:row>
    <x:row r="137">
      <x:c r="A137" t="s">
        <x:v>478</x:v>
      </x:c>
      <x:c r="B137" t="s">
        <x:v>31</x:v>
      </x:c>
      <x:c r="C137" t="s">
        <x:v>98</x:v>
      </x:c>
      <x:c r="D137" t="s">
        <x:v>274</x:v>
      </x:c>
      <x:c r="E137" t="s">
        <x:v>175</x:v>
      </x:c>
      <x:c r="F137" t="s">
        <x:v>601</x:v>
      </x:c>
    </x:row>
    <x:row r="138">
      <x:c r="A138" t="s">
        <x:v>104</x:v>
      </x:c>
      <x:c r="B138" t="s">
        <x:v>31</x:v>
      </x:c>
      <x:c r="C138" t="s">
        <x:v>102</x:v>
      </x:c>
      <x:c r="D138" t="s">
        <x:v>274</x:v>
      </x:c>
      <x:c r="E138" t="s">
        <x:v>175</x:v>
      </x:c>
      <x:c r="F138" t="s">
        <x:v>601</x:v>
      </x:c>
    </x:row>
    <x:row r="139">
      <x:c r="A139" t="s">
        <x:v>481</x:v>
      </x:c>
      <x:c r="B139" t="s">
        <x:v>31</x:v>
      </x:c>
      <x:c r="C139" t="s">
        <x:v>102</x:v>
      </x:c>
      <x:c r="D139" t="s">
        <x:v>274</x:v>
      </x:c>
      <x:c r="E139" t="s">
        <x:v>175</x:v>
      </x:c>
      <x:c r="F139" t="s">
        <x:v>601</x:v>
      </x:c>
    </x:row>
    <x:row r="140">
      <x:c r="A140" t="s">
        <x:v>483</x:v>
      </x:c>
      <x:c r="B140" t="s">
        <x:v>31</x:v>
      </x:c>
      <x:c r="C140" t="s">
        <x:v>102</x:v>
      </x:c>
      <x:c r="D140" t="s">
        <x:v>274</x:v>
      </x:c>
      <x:c r="E140" t="s">
        <x:v>175</x:v>
      </x:c>
      <x:c r="F140" t="s">
        <x:v>601</x:v>
      </x:c>
    </x:row>
    <x:row r="141">
      <x:c r="A141" t="s">
        <x:v>485</x:v>
      </x:c>
      <x:c r="B141" t="s">
        <x:v>31</x:v>
      </x:c>
      <x:c r="C141" t="s">
        <x:v>102</x:v>
      </x:c>
      <x:c r="D141" t="s">
        <x:v>274</x:v>
      </x:c>
      <x:c r="E141" t="s">
        <x:v>175</x:v>
      </x:c>
      <x:c r="F141" t="s">
        <x:v>601</x:v>
      </x:c>
    </x:row>
    <x:row r="142">
      <x:c r="A142" t="s">
        <x:v>487</x:v>
      </x:c>
      <x:c r="B142" t="s">
        <x:v>31</x:v>
      </x:c>
      <x:c r="C142" t="s">
        <x:v>102</x:v>
      </x:c>
      <x:c r="D142" t="s">
        <x:v>274</x:v>
      </x:c>
      <x:c r="E142" t="s">
        <x:v>175</x:v>
      </x:c>
      <x:c r="F142" t="s">
        <x:v>601</x:v>
      </x:c>
    </x:row>
    <x:row r="143">
      <x:c r="A143" t="s">
        <x:v>108</x:v>
      </x:c>
      <x:c r="B143" t="s">
        <x:v>31</x:v>
      </x:c>
      <x:c r="C143" t="s">
        <x:v>106</x:v>
      </x:c>
      <x:c r="D143" t="s">
        <x:v>274</x:v>
      </x:c>
      <x:c r="E143" t="s">
        <x:v>175</x:v>
      </x:c>
      <x:c r="F143" t="s">
        <x:v>601</x:v>
      </x:c>
    </x:row>
    <x:row r="144">
      <x:c r="A144" t="s">
        <x:v>490</x:v>
      </x:c>
      <x:c r="B144" t="s">
        <x:v>31</x:v>
      </x:c>
      <x:c r="C144" t="s">
        <x:v>106</x:v>
      </x:c>
      <x:c r="D144" t="s">
        <x:v>274</x:v>
      </x:c>
      <x:c r="E144" t="s">
        <x:v>175</x:v>
      </x:c>
      <x:c r="F144" t="s">
        <x:v>601</x:v>
      </x:c>
    </x:row>
    <x:row r="145">
      <x:c r="A145" t="s">
        <x:v>492</x:v>
      </x:c>
      <x:c r="B145" t="s">
        <x:v>31</x:v>
      </x:c>
      <x:c r="C145" t="s">
        <x:v>106</x:v>
      </x:c>
      <x:c r="D145" t="s">
        <x:v>274</x:v>
      </x:c>
      <x:c r="E145" t="s">
        <x:v>175</x:v>
      </x:c>
      <x:c r="F145" t="s">
        <x:v>601</x:v>
      </x:c>
    </x:row>
    <x:row r="146">
      <x:c r="A146" t="s">
        <x:v>494</x:v>
      </x:c>
      <x:c r="B146" t="s">
        <x:v>31</x:v>
      </x:c>
      <x:c r="C146" t="s">
        <x:v>106</x:v>
      </x:c>
      <x:c r="D146" t="s">
        <x:v>274</x:v>
      </x:c>
      <x:c r="E146" t="s">
        <x:v>175</x:v>
      </x:c>
      <x:c r="F146" t="s">
        <x:v>601</x:v>
      </x:c>
    </x:row>
    <x:row r="147">
      <x:c r="A147" t="s">
        <x:v>496</x:v>
      </x:c>
      <x:c r="B147" t="s">
        <x:v>31</x:v>
      </x:c>
      <x:c r="C147" t="s">
        <x:v>106</x:v>
      </x:c>
      <x:c r="D147" t="s">
        <x:v>274</x:v>
      </x:c>
      <x:c r="E147" t="s">
        <x:v>175</x:v>
      </x:c>
      <x:c r="F147" t="s">
        <x:v>601</x:v>
      </x:c>
    </x:row>
    <x:row r="148">
      <x:c r="A148" t="s">
        <x:v>112</x:v>
      </x:c>
      <x:c r="B148" t="s">
        <x:v>31</x:v>
      </x:c>
      <x:c r="C148" t="s">
        <x:v>110</x:v>
      </x:c>
      <x:c r="D148" t="s">
        <x:v>274</x:v>
      </x:c>
      <x:c r="E148" t="s">
        <x:v>175</x:v>
      </x:c>
      <x:c r="F148" t="s">
        <x:v>601</x:v>
      </x:c>
    </x:row>
    <x:row r="149">
      <x:c r="A149" t="s">
        <x:v>499</x:v>
      </x:c>
      <x:c r="B149" t="s">
        <x:v>31</x:v>
      </x:c>
      <x:c r="C149" t="s">
        <x:v>110</x:v>
      </x:c>
      <x:c r="D149" t="s">
        <x:v>274</x:v>
      </x:c>
      <x:c r="E149" t="s">
        <x:v>175</x:v>
      </x:c>
      <x:c r="F149" t="s">
        <x:v>601</x:v>
      </x:c>
    </x:row>
    <x:row r="150">
      <x:c r="A150" t="s">
        <x:v>501</x:v>
      </x:c>
      <x:c r="B150" t="s">
        <x:v>31</x:v>
      </x:c>
      <x:c r="C150" t="s">
        <x:v>110</x:v>
      </x:c>
      <x:c r="D150" t="s">
        <x:v>274</x:v>
      </x:c>
      <x:c r="E150" t="s">
        <x:v>175</x:v>
      </x:c>
      <x:c r="F150" t="s">
        <x:v>601</x:v>
      </x:c>
    </x:row>
    <x:row r="151">
      <x:c r="A151" t="s">
        <x:v>503</x:v>
      </x:c>
      <x:c r="B151" t="s">
        <x:v>31</x:v>
      </x:c>
      <x:c r="C151" t="s">
        <x:v>110</x:v>
      </x:c>
      <x:c r="D151" t="s">
        <x:v>274</x:v>
      </x:c>
      <x:c r="E151" t="s">
        <x:v>175</x:v>
      </x:c>
      <x:c r="F151" t="s">
        <x:v>601</x:v>
      </x:c>
    </x:row>
    <x:row r="152">
      <x:c r="A152" t="s">
        <x:v>505</x:v>
      </x:c>
      <x:c r="B152" t="s">
        <x:v>31</x:v>
      </x:c>
      <x:c r="C152" t="s">
        <x:v>110</x:v>
      </x:c>
      <x:c r="D152" t="s">
        <x:v>274</x:v>
      </x:c>
      <x:c r="E152" t="s">
        <x:v>175</x:v>
      </x:c>
      <x:c r="F152" t="s">
        <x:v>601</x:v>
      </x:c>
    </x:row>
    <x:row r="153">
      <x:c r="A153" t="s">
        <x:v>116</x:v>
      </x:c>
      <x:c r="B153" t="s">
        <x:v>31</x:v>
      </x:c>
      <x:c r="C153" t="s">
        <x:v>114</x:v>
      </x:c>
      <x:c r="D153" t="s">
        <x:v>274</x:v>
      </x:c>
      <x:c r="E153" t="s">
        <x:v>175</x:v>
      </x:c>
      <x:c r="F153" t="s">
        <x:v>601</x:v>
      </x:c>
    </x:row>
    <x:row r="154">
      <x:c r="A154" t="s">
        <x:v>508</x:v>
      </x:c>
      <x:c r="B154" t="s">
        <x:v>31</x:v>
      </x:c>
      <x:c r="C154" t="s">
        <x:v>114</x:v>
      </x:c>
      <x:c r="D154" t="s">
        <x:v>274</x:v>
      </x:c>
      <x:c r="E154" t="s">
        <x:v>175</x:v>
      </x:c>
      <x:c r="F154" t="s">
        <x:v>601</x:v>
      </x:c>
    </x:row>
    <x:row r="155">
      <x:c r="A155" t="s">
        <x:v>510</x:v>
      </x:c>
      <x:c r="B155" t="s">
        <x:v>31</x:v>
      </x:c>
      <x:c r="C155" t="s">
        <x:v>114</x:v>
      </x:c>
      <x:c r="D155" t="s">
        <x:v>274</x:v>
      </x:c>
      <x:c r="E155" t="s">
        <x:v>175</x:v>
      </x:c>
      <x:c r="F155" t="s">
        <x:v>601</x:v>
      </x:c>
    </x:row>
    <x:row r="156">
      <x:c r="A156" t="s">
        <x:v>512</x:v>
      </x:c>
      <x:c r="B156" t="s">
        <x:v>31</x:v>
      </x:c>
      <x:c r="C156" t="s">
        <x:v>114</x:v>
      </x:c>
      <x:c r="D156" t="s">
        <x:v>274</x:v>
      </x:c>
      <x:c r="E156" t="s">
        <x:v>175</x:v>
      </x:c>
      <x:c r="F156" t="s">
        <x:v>601</x:v>
      </x:c>
    </x:row>
    <x:row r="157">
      <x:c r="A157" t="s">
        <x:v>514</x:v>
      </x:c>
      <x:c r="B157" t="s">
        <x:v>31</x:v>
      </x:c>
      <x:c r="C157" t="s">
        <x:v>114</x:v>
      </x:c>
      <x:c r="D157" t="s">
        <x:v>274</x:v>
      </x:c>
      <x:c r="E157" t="s">
        <x:v>175</x:v>
      </x:c>
      <x:c r="F157" t="s">
        <x:v>601</x:v>
      </x:c>
    </x:row>
    <x:row r="158">
      <x:c r="A158" t="s">
        <x:v>120</x:v>
      </x:c>
      <x:c r="B158" t="s">
        <x:v>31</x:v>
      </x:c>
      <x:c r="C158" t="s">
        <x:v>118</x:v>
      </x:c>
      <x:c r="D158" t="s">
        <x:v>274</x:v>
      </x:c>
      <x:c r="E158" t="s">
        <x:v>175</x:v>
      </x:c>
      <x:c r="F158" t="s">
        <x:v>601</x:v>
      </x:c>
    </x:row>
    <x:row r="159">
      <x:c r="A159" t="s">
        <x:v>517</x:v>
      </x:c>
      <x:c r="B159" t="s">
        <x:v>31</x:v>
      </x:c>
      <x:c r="C159" t="s">
        <x:v>118</x:v>
      </x:c>
      <x:c r="D159" t="s">
        <x:v>274</x:v>
      </x:c>
      <x:c r="E159" t="s">
        <x:v>175</x:v>
      </x:c>
      <x:c r="F159" t="s">
        <x:v>601</x:v>
      </x:c>
    </x:row>
    <x:row r="160">
      <x:c r="A160" t="s">
        <x:v>519</x:v>
      </x:c>
      <x:c r="B160" t="s">
        <x:v>31</x:v>
      </x:c>
      <x:c r="C160" t="s">
        <x:v>118</x:v>
      </x:c>
      <x:c r="D160" t="s">
        <x:v>274</x:v>
      </x:c>
      <x:c r="E160" t="s">
        <x:v>175</x:v>
      </x:c>
      <x:c r="F160" t="s">
        <x:v>601</x:v>
      </x:c>
    </x:row>
    <x:row r="161">
      <x:c r="A161" t="s">
        <x:v>521</x:v>
      </x:c>
      <x:c r="B161" t="s">
        <x:v>31</x:v>
      </x:c>
      <x:c r="C161" t="s">
        <x:v>118</x:v>
      </x:c>
      <x:c r="D161" t="s">
        <x:v>274</x:v>
      </x:c>
      <x:c r="E161" t="s">
        <x:v>175</x:v>
      </x:c>
      <x:c r="F161" t="s">
        <x:v>601</x:v>
      </x:c>
    </x:row>
    <x:row r="162">
      <x:c r="A162" t="s">
        <x:v>523</x:v>
      </x:c>
      <x:c r="B162" t="s">
        <x:v>31</x:v>
      </x:c>
      <x:c r="C162" t="s">
        <x:v>118</x:v>
      </x:c>
      <x:c r="D162" t="s">
        <x:v>274</x:v>
      </x:c>
      <x:c r="E162" t="s">
        <x:v>175</x:v>
      </x:c>
      <x:c r="F162" t="s">
        <x:v>601</x:v>
      </x:c>
    </x:row>
    <x:row r="163">
      <x:c r="A163" t="s">
        <x:v>124</x:v>
      </x:c>
      <x:c r="B163" t="s">
        <x:v>31</x:v>
      </x:c>
      <x:c r="C163" t="s">
        <x:v>122</x:v>
      </x:c>
      <x:c r="D163" t="s">
        <x:v>274</x:v>
      </x:c>
      <x:c r="E163" t="s">
        <x:v>175</x:v>
      </x:c>
      <x:c r="F163" t="s">
        <x:v>601</x:v>
      </x:c>
    </x:row>
    <x:row r="164">
      <x:c r="A164" t="s">
        <x:v>526</x:v>
      </x:c>
      <x:c r="B164" t="s">
        <x:v>31</x:v>
      </x:c>
      <x:c r="C164" t="s">
        <x:v>122</x:v>
      </x:c>
      <x:c r="D164" t="s">
        <x:v>274</x:v>
      </x:c>
      <x:c r="E164" t="s">
        <x:v>175</x:v>
      </x:c>
      <x:c r="F164" t="s">
        <x:v>601</x:v>
      </x:c>
    </x:row>
    <x:row r="165">
      <x:c r="A165" t="s">
        <x:v>528</x:v>
      </x:c>
      <x:c r="B165" t="s">
        <x:v>31</x:v>
      </x:c>
      <x:c r="C165" t="s">
        <x:v>122</x:v>
      </x:c>
      <x:c r="D165" t="s">
        <x:v>274</x:v>
      </x:c>
      <x:c r="E165" t="s">
        <x:v>175</x:v>
      </x:c>
      <x:c r="F165" t="s">
        <x:v>601</x:v>
      </x:c>
    </x:row>
    <x:row r="166">
      <x:c r="A166" t="s">
        <x:v>530</x:v>
      </x:c>
      <x:c r="B166" t="s">
        <x:v>31</x:v>
      </x:c>
      <x:c r="C166" t="s">
        <x:v>122</x:v>
      </x:c>
      <x:c r="D166" t="s">
        <x:v>274</x:v>
      </x:c>
      <x:c r="E166" t="s">
        <x:v>175</x:v>
      </x:c>
      <x:c r="F166" t="s">
        <x:v>601</x:v>
      </x:c>
    </x:row>
    <x:row r="167">
      <x:c r="A167" t="s">
        <x:v>532</x:v>
      </x:c>
      <x:c r="B167" t="s">
        <x:v>31</x:v>
      </x:c>
      <x:c r="C167" t="s">
        <x:v>122</x:v>
      </x:c>
      <x:c r="D167" t="s">
        <x:v>274</x:v>
      </x:c>
      <x:c r="E167" t="s">
        <x:v>175</x:v>
      </x:c>
      <x:c r="F167" t="s">
        <x:v>601</x:v>
      </x:c>
    </x:row>
    <x:row r="168">
      <x:c r="A168" t="s">
        <x:v>536</x:v>
      </x:c>
      <x:c r="B168" t="s">
        <x:v>28</x:v>
      </x:c>
      <x:c r="C168" t="s">
        <x:v>126</x:v>
      </x:c>
      <x:c r="D168" t="s">
        <x:v>274</x:v>
      </x:c>
      <x:c r="E168" t="s">
        <x:v>175</x:v>
      </x:c>
      <x:c r="F168" t="s">
        <x:v>601</x:v>
      </x:c>
    </x:row>
    <x:row r="169">
      <x:c r="A169" t="s">
        <x:v>538</x:v>
      </x:c>
      <x:c r="B169" t="s">
        <x:v>28</x:v>
      </x:c>
      <x:c r="C169" t="s">
        <x:v>126</x:v>
      </x:c>
      <x:c r="D169" t="s">
        <x:v>274</x:v>
      </x:c>
      <x:c r="E169" t="s">
        <x:v>175</x:v>
      </x:c>
      <x:c r="F169" t="s">
        <x:v>601</x:v>
      </x:c>
    </x:row>
    <x:row r="170">
      <x:c r="A170" t="s">
        <x:v>540</x:v>
      </x:c>
      <x:c r="B170" t="s">
        <x:v>28</x:v>
      </x:c>
      <x:c r="C170" t="s">
        <x:v>126</x:v>
      </x:c>
      <x:c r="D170" t="s">
        <x:v>274</x:v>
      </x:c>
      <x:c r="E170" t="s">
        <x:v>175</x:v>
      </x:c>
      <x:c r="F170" t="s">
        <x:v>601</x:v>
      </x:c>
    </x:row>
    <x:row r="171">
      <x:c r="A171" t="s">
        <x:v>542</x:v>
      </x:c>
      <x:c r="B171" t="s">
        <x:v>28</x:v>
      </x:c>
      <x:c r="C171" t="s">
        <x:v>126</x:v>
      </x:c>
      <x:c r="D171" t="s">
        <x:v>274</x:v>
      </x:c>
      <x:c r="E171" t="s">
        <x:v>175</x:v>
      </x:c>
      <x:c r="F171" t="s">
        <x:v>601</x:v>
      </x:c>
    </x:row>
    <x:row r="172">
      <x:c r="A172" t="s">
        <x:v>545</x:v>
      </x:c>
      <x:c r="B172" t="s">
        <x:v>28</x:v>
      </x:c>
      <x:c r="C172" t="s">
        <x:v>126</x:v>
      </x:c>
      <x:c r="D172" t="s">
        <x:v>274</x:v>
      </x:c>
      <x:c r="E172" t="s">
        <x:v>175</x:v>
      </x:c>
      <x:c r="F172" t="s">
        <x:v>601</x:v>
      </x:c>
    </x:row>
    <x:row r="173">
      <x:c r="A173" t="s">
        <x:v>548</x:v>
      </x:c>
      <x:c r="B173" t="s">
        <x:v>28</x:v>
      </x:c>
      <x:c r="C173" t="s">
        <x:v>126</x:v>
      </x:c>
      <x:c r="D173" t="s">
        <x:v>274</x:v>
      </x:c>
      <x:c r="E173" t="s">
        <x:v>175</x:v>
      </x:c>
      <x:c r="F173" t="s">
        <x:v>601</x:v>
      </x:c>
    </x:row>
    <x:row r="174">
      <x:c r="A174" t="s">
        <x:v>550</x:v>
      </x:c>
      <x:c r="B174" t="s">
        <x:v>28</x:v>
      </x:c>
      <x:c r="C174" t="s">
        <x:v>130</x:v>
      </x:c>
      <x:c r="D174" t="s">
        <x:v>274</x:v>
      </x:c>
      <x:c r="E174" t="s">
        <x:v>175</x:v>
      </x:c>
      <x:c r="F174" t="s">
        <x:v>601</x:v>
      </x:c>
    </x:row>
    <x:row r="175">
      <x:c r="A175" t="s">
        <x:v>552</x:v>
      </x:c>
      <x:c r="B175" t="s">
        <x:v>28</x:v>
      </x:c>
      <x:c r="C175" t="s">
        <x:v>130</x:v>
      </x:c>
      <x:c r="D175" t="s">
        <x:v>274</x:v>
      </x:c>
      <x:c r="E175" t="s">
        <x:v>175</x:v>
      </x:c>
      <x:c r="F175" t="s">
        <x:v>601</x:v>
      </x:c>
    </x:row>
    <x:row r="176">
      <x:c r="A176" t="s">
        <x:v>554</x:v>
      </x:c>
      <x:c r="B176" t="s">
        <x:v>28</x:v>
      </x:c>
      <x:c r="C176" t="s">
        <x:v>130</x:v>
      </x:c>
      <x:c r="D176" t="s">
        <x:v>274</x:v>
      </x:c>
      <x:c r="E176" t="s">
        <x:v>175</x:v>
      </x:c>
      <x:c r="F176" t="s">
        <x:v>601</x:v>
      </x:c>
    </x:row>
    <x:row r="177">
      <x:c r="A177" t="s">
        <x:v>556</x:v>
      </x:c>
      <x:c r="B177" t="s">
        <x:v>28</x:v>
      </x:c>
      <x:c r="C177" t="s">
        <x:v>130</x:v>
      </x:c>
      <x:c r="D177" t="s">
        <x:v>274</x:v>
      </x:c>
      <x:c r="E177" t="s">
        <x:v>175</x:v>
      </x:c>
      <x:c r="F177" t="s">
        <x:v>601</x:v>
      </x:c>
    </x:row>
    <x:row r="178">
      <x:c r="A178" t="s">
        <x:v>558</x:v>
      </x:c>
      <x:c r="B178" t="s">
        <x:v>28</x:v>
      </x:c>
      <x:c r="C178" t="s">
        <x:v>130</x:v>
      </x:c>
      <x:c r="D178" t="s">
        <x:v>274</x:v>
      </x:c>
      <x:c r="E178" t="s">
        <x:v>175</x:v>
      </x:c>
      <x:c r="F178" t="s">
        <x:v>601</x:v>
      </x:c>
    </x:row>
    <x:row r="179">
      <x:c r="A179" t="s">
        <x:v>560</x:v>
      </x:c>
      <x:c r="B179" t="s">
        <x:v>28</x:v>
      </x:c>
      <x:c r="C179" t="s">
        <x:v>130</x:v>
      </x:c>
      <x:c r="D179" t="s">
        <x:v>274</x:v>
      </x:c>
      <x:c r="E179" t="s">
        <x:v>175</x:v>
      </x:c>
      <x:c r="F179" t="s">
        <x:v>601</x:v>
      </x:c>
    </x:row>
    <x:row r="180">
      <x:c r="A180" t="s">
        <x:v>562</x:v>
      </x:c>
      <x:c r="B180" t="s">
        <x:v>28</x:v>
      </x:c>
      <x:c r="C180" t="s">
        <x:v>134</x:v>
      </x:c>
      <x:c r="D180" t="s">
        <x:v>274</x:v>
      </x:c>
      <x:c r="E180" t="s">
        <x:v>175</x:v>
      </x:c>
      <x:c r="F180" t="s">
        <x:v>601</x:v>
      </x:c>
    </x:row>
    <x:row r="181">
      <x:c r="A181" t="s">
        <x:v>564</x:v>
      </x:c>
      <x:c r="B181" t="s">
        <x:v>28</x:v>
      </x:c>
      <x:c r="C181" t="s">
        <x:v>134</x:v>
      </x:c>
      <x:c r="D181" t="s">
        <x:v>274</x:v>
      </x:c>
      <x:c r="E181" t="s">
        <x:v>175</x:v>
      </x:c>
      <x:c r="F181" t="s">
        <x:v>601</x:v>
      </x:c>
    </x:row>
    <x:row r="182">
      <x:c r="A182" t="s">
        <x:v>566</x:v>
      </x:c>
      <x:c r="B182" t="s">
        <x:v>28</x:v>
      </x:c>
      <x:c r="C182" t="s">
        <x:v>134</x:v>
      </x:c>
      <x:c r="D182" t="s">
        <x:v>274</x:v>
      </x:c>
      <x:c r="E182" t="s">
        <x:v>175</x:v>
      </x:c>
      <x:c r="F182" t="s">
        <x:v>601</x:v>
      </x:c>
    </x:row>
    <x:row r="183">
      <x:c r="A183" t="s">
        <x:v>568</x:v>
      </x:c>
      <x:c r="B183" t="s">
        <x:v>28</x:v>
      </x:c>
      <x:c r="C183" t="s">
        <x:v>134</x:v>
      </x:c>
      <x:c r="D183" t="s">
        <x:v>274</x:v>
      </x:c>
      <x:c r="E183" t="s">
        <x:v>175</x:v>
      </x:c>
      <x:c r="F183" t="s">
        <x:v>601</x:v>
      </x:c>
    </x:row>
    <x:row r="184">
      <x:c r="A184" t="s">
        <x:v>570</x:v>
      </x:c>
      <x:c r="B184" t="s">
        <x:v>28</x:v>
      </x:c>
      <x:c r="C184" t="s">
        <x:v>134</x:v>
      </x:c>
      <x:c r="D184" t="s">
        <x:v>274</x:v>
      </x:c>
      <x:c r="E184" t="s">
        <x:v>175</x:v>
      </x:c>
      <x:c r="F184" t="s">
        <x:v>601</x:v>
      </x:c>
    </x:row>
    <x:row r="185">
      <x:c r="A185" t="s">
        <x:v>572</x:v>
      </x:c>
      <x:c r="B185" t="s">
        <x:v>28</x:v>
      </x:c>
      <x:c r="C185" t="s">
        <x:v>134</x:v>
      </x:c>
      <x:c r="D185" t="s">
        <x:v>274</x:v>
      </x:c>
      <x:c r="E185" t="s">
        <x:v>175</x:v>
      </x:c>
      <x:c r="F185" t="s">
        <x:v>601</x:v>
      </x:c>
    </x:row>
    <x:row r="186">
      <x:c r="A186" t="s">
        <x:v>574</x:v>
      </x:c>
      <x:c r="B186" t="s">
        <x:v>28</x:v>
      </x:c>
      <x:c r="C186" t="s">
        <x:v>138</x:v>
      </x:c>
      <x:c r="D186" t="s">
        <x:v>274</x:v>
      </x:c>
      <x:c r="E186" t="s">
        <x:v>175</x:v>
      </x:c>
      <x:c r="F186" t="s">
        <x:v>601</x:v>
      </x:c>
    </x:row>
    <x:row r="187">
      <x:c r="A187" t="s">
        <x:v>576</x:v>
      </x:c>
      <x:c r="B187" t="s">
        <x:v>28</x:v>
      </x:c>
      <x:c r="C187" t="s">
        <x:v>138</x:v>
      </x:c>
      <x:c r="D187" t="s">
        <x:v>274</x:v>
      </x:c>
      <x:c r="E187" t="s">
        <x:v>175</x:v>
      </x:c>
      <x:c r="F187" t="s">
        <x:v>601</x:v>
      </x:c>
    </x:row>
    <x:row r="188">
      <x:c r="A188" t="s">
        <x:v>578</x:v>
      </x:c>
      <x:c r="B188" t="s">
        <x:v>28</x:v>
      </x:c>
      <x:c r="C188" t="s">
        <x:v>138</x:v>
      </x:c>
      <x:c r="D188" t="s">
        <x:v>274</x:v>
      </x:c>
      <x:c r="E188" t="s">
        <x:v>175</x:v>
      </x:c>
      <x:c r="F188" t="s">
        <x:v>601</x:v>
      </x:c>
    </x:row>
    <x:row r="189">
      <x:c r="A189" t="s">
        <x:v>580</x:v>
      </x:c>
      <x:c r="B189" t="s">
        <x:v>28</x:v>
      </x:c>
      <x:c r="C189" t="s">
        <x:v>138</x:v>
      </x:c>
      <x:c r="D189" t="s">
        <x:v>274</x:v>
      </x:c>
      <x:c r="E189" t="s">
        <x:v>175</x:v>
      </x:c>
      <x:c r="F189" t="s">
        <x:v>601</x:v>
      </x:c>
    </x:row>
    <x:row r="190">
      <x:c r="A190" t="s">
        <x:v>582</x:v>
      </x:c>
      <x:c r="B190" t="s">
        <x:v>28</x:v>
      </x:c>
      <x:c r="C190" t="s">
        <x:v>138</x:v>
      </x:c>
      <x:c r="D190" t="s">
        <x:v>274</x:v>
      </x:c>
      <x:c r="E190" t="s">
        <x:v>175</x:v>
      </x:c>
      <x:c r="F190" t="s">
        <x:v>601</x:v>
      </x:c>
    </x:row>
    <x:row r="191">
      <x:c r="A191" t="s">
        <x:v>584</x:v>
      </x:c>
      <x:c r="B191" t="s">
        <x:v>28</x:v>
      </x:c>
      <x:c r="C191" t="s">
        <x:v>138</x:v>
      </x:c>
      <x:c r="D191" t="s">
        <x:v>274</x:v>
      </x:c>
      <x:c r="E191" t="s">
        <x:v>175</x:v>
      </x:c>
      <x:c r="F191" t="s">
        <x:v>601</x:v>
      </x:c>
    </x:row>
    <x:row r="192">
      <x:c r="A192" t="s">
        <x:v>586</x:v>
      </x:c>
      <x:c r="B192" t="s">
        <x:v>28</x:v>
      </x:c>
      <x:c r="C192" t="s">
        <x:v>142</x:v>
      </x:c>
      <x:c r="D192" t="s">
        <x:v>274</x:v>
      </x:c>
      <x:c r="E192" t="s">
        <x:v>175</x:v>
      </x:c>
      <x:c r="F192" t="s">
        <x:v>601</x:v>
      </x:c>
    </x:row>
    <x:row r="193">
      <x:c r="A193" t="s">
        <x:v>588</x:v>
      </x:c>
      <x:c r="B193" t="s">
        <x:v>28</x:v>
      </x:c>
      <x:c r="C193" t="s">
        <x:v>142</x:v>
      </x:c>
      <x:c r="D193" t="s">
        <x:v>274</x:v>
      </x:c>
      <x:c r="E193" t="s">
        <x:v>175</x:v>
      </x:c>
      <x:c r="F193" t="s">
        <x:v>601</x:v>
      </x:c>
    </x:row>
    <x:row r="194">
      <x:c r="A194" t="s">
        <x:v>590</x:v>
      </x:c>
      <x:c r="B194" t="s">
        <x:v>28</x:v>
      </x:c>
      <x:c r="C194" t="s">
        <x:v>142</x:v>
      </x:c>
      <x:c r="D194" t="s">
        <x:v>274</x:v>
      </x:c>
      <x:c r="E194" t="s">
        <x:v>175</x:v>
      </x:c>
      <x:c r="F194" t="s">
        <x:v>601</x:v>
      </x:c>
    </x:row>
    <x:row r="195">
      <x:c r="A195" t="s">
        <x:v>592</x:v>
      </x:c>
      <x:c r="B195" t="s">
        <x:v>28</x:v>
      </x:c>
      <x:c r="C195" t="s">
        <x:v>142</x:v>
      </x:c>
      <x:c r="D195" t="s">
        <x:v>274</x:v>
      </x:c>
      <x:c r="E195" t="s">
        <x:v>175</x:v>
      </x:c>
      <x:c r="F195" t="s">
        <x:v>601</x:v>
      </x:c>
    </x:row>
    <x:row r="196">
      <x:c r="A196" t="s">
        <x:v>594</x:v>
      </x:c>
      <x:c r="B196" t="s">
        <x:v>28</x:v>
      </x:c>
      <x:c r="C196" t="s">
        <x:v>142</x:v>
      </x:c>
      <x:c r="D196" t="s">
        <x:v>274</x:v>
      </x:c>
      <x:c r="E196" t="s">
        <x:v>175</x:v>
      </x:c>
      <x:c r="F196" t="s">
        <x:v>601</x:v>
      </x:c>
    </x:row>
    <x:row r="197">
      <x:c r="A197" t="s">
        <x:v>596</x:v>
      </x:c>
      <x:c r="B197" t="s">
        <x:v>28</x:v>
      </x:c>
      <x:c r="C197" t="s">
        <x:v>142</x:v>
      </x:c>
      <x:c r="D197" t="s">
        <x:v>274</x:v>
      </x:c>
      <x:c r="E197" t="s">
        <x:v>175</x:v>
      </x:c>
      <x:c r="F197" t="s">
        <x:v>601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7.941176414489746" defaultRowHeight="17.600000381469727"/>
  <x:sheetData>
    <x:row r="1">
      <x:c r="A1" t="s">
        <x:v>602</x:v>
      </x:c>
    </x:row>
    <x:row r="2">
      <x:c r="A2" t="s">
        <x:v>603</x:v>
      </x:c>
    </x:row>
    <x:row r="4">
      <x:c r="A4" t="s">
        <x:v>155</x:v>
      </x:c>
      <x:c r="B4" t="s">
        <x:v>604</x:v>
      </x:c>
      <x:c r="C4" t="s">
        <x:v>605</x:v>
      </x:c>
    </x:row>
    <x:row r="5">
      <x:c r="A5" t="s">
        <x:v>606</x:v>
      </x:c>
      <x:c r="B5">
        <x:v>5</x:v>
      </x:c>
      <x:c r="C5" t="s">
        <x:v>607</x:v>
      </x:c>
    </x:row>
    <x:row r="6">
      <x:c r="A6" t="s">
        <x:v>608</x:v>
      </x:c>
      <x:c r="B6">
        <x:v>4</x:v>
      </x:c>
      <x:c r="C6" t="s">
        <x:v>609</x:v>
      </x:c>
    </x:row>
    <x:row r="7">
      <x:c r="A7" t="s">
        <x:v>610</x:v>
      </x:c>
      <x:c r="B7">
        <x:v>3.5</x:v>
      </x:c>
      <x:c r="C7" t="s">
        <x:v>611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6840CD"/>
  </x:sheetPr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</x:cols>
  <x:sheetData>
    <x:row r="1" ht="24" customHeight="1">
      <x:c r="A1" s="11" t="str">
        <x:v>Product Status</x:v>
      </x:c>
      <x:c r="B1" s="12"/>
    </x:row>
    <x:row r="2" ht="18" customHeight="1">
      <x:c r="A2" s="13" t="str">
        <x:v>Use these labels in the Products Status column. The stable key supports website localization.</x:v>
      </x:c>
      <x:c r="B2" s="12"/>
    </x:row>
    <x:row r="3">
      <x:c r="A3" s="12"/>
      <x:c r="B3" s="12"/>
    </x:row>
    <x:row r="4" ht="20" customHeight="1">
      <x:c r="A4" s="14" t="str">
        <x:v>Status key</x:v>
      </x:c>
      <x:c r="B4" s="14" t="str">
        <x:v>Status label</x:v>
      </x:c>
    </x:row>
    <x:row r="5" ht="20" customHeight="1">
      <x:c r="A5" s="15" t="str">
        <x:v>ready-stock</x:v>
      </x:c>
      <x:c r="B5" s="15" t="str">
        <x:v>Ready Stock</x:v>
      </x:c>
    </x:row>
    <x:row r="6" ht="20" customHeight="1">
      <x:c r="A6" s="15" t="str">
        <x:v>made-to-order</x:v>
      </x:c>
      <x:c r="B6" s="15" t="str">
        <x:v>Made to Order</x:v>
      </x:c>
    </x:row>
    <x:row r="7" ht="20" customHeight="1">
      <x:c r="A7" s="15" t="str">
        <x:v>pre-order</x:v>
      </x:c>
      <x:c r="B7" s="15" t="str">
        <x:v>Pre-Order</x:v>
      </x:c>
    </x:row>
    <x:row r="8" ht="20" customHeight="1">
      <x:c r="A8" s="15" t="str">
        <x:v>out-of-stock</x:v>
      </x:c>
      <x:c r="B8" s="15" t="str">
        <x:v>Out of Stock</x:v>
      </x:c>
    </x:row>
    <x:row r="9" ht="20" customHeight="1">
      <x:c r="A9" s="15" t="str">
        <x:v>sold-out</x:v>
      </x:c>
      <x:c r="B9" s="15" t="str">
        <x:v>Sold Out</x:v>
      </x:c>
    </x:row>
    <x:row r="10" ht="20" customHeight="1">
      <x:c r="A10" s="15" t="str">
        <x:v>coming-soon</x:v>
      </x:c>
      <x:c r="B10" s="15" t="str">
        <x:v>Coming Soon</x:v>
      </x:c>
    </x:row>
    <x:row r="11" ht="20" customHeight="1">
      <x:c r="A11" s="15" t="str">
        <x:v>unavailable</x:v>
      </x:c>
      <x:c r="B11" s="15" t="str">
        <x:v>Unavailable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6840CD"/>
  </x:sheetPr>
  <x:sheetViews>
    <x:sheetView showGridLines="0" workbookViewId="0"/>
  </x:sheetViews>
  <x:sheetFormatPr defaultRowHeight="15"/>
  <x:cols>
    <x:col min="1" max="1" width="18" hidden="0" customWidth="1"/>
    <x:col min="2" max="2" width="13" hidden="0" customWidth="1"/>
    <x:col min="3" max="3" width="27" hidden="0" customWidth="1"/>
    <x:col min="4" max="4" width="35" hidden="0" customWidth="1"/>
  </x:cols>
  <x:sheetData>
    <x:row r="1" ht="24" customHeight="1">
      <x:c r="A1" s="11" t="str">
        <x:v>Product Sizes</x:v>
      </x:c>
      <x:c r="B1" s="12"/>
      <x:c r="C1" s="12"/>
      <x:c r="D1" s="12"/>
    </x:row>
    <x:row r="2" ht="18" customHeight="1">
      <x:c r="A2" s="13" t="str">
        <x:v>Maintain the size key here. Use the display label for customer-facing size selections.</x:v>
      </x:c>
      <x:c r="B2" s="12"/>
      <x:c r="C2" s="12"/>
      <x:c r="D2" s="12"/>
    </x:row>
    <x:row r="3">
      <x:c r="A3" s="12"/>
      <x:c r="B3" s="12"/>
      <x:c r="C3" s="12"/>
      <x:c r="D3" s="12"/>
    </x:row>
    <x:row r="4" ht="20" customHeight="1">
      <x:c r="A4" s="21" t="str">
        <x:v>Size key</x:v>
      </x:c>
      <x:c r="B4" s="21" t="str">
        <x:v>Inch size</x:v>
      </x:c>
      <x:c r="C4" s="21" t="str">
        <x:v>CM size</x:v>
      </x:c>
      <x:c r="D4" s="21" t="str">
        <x:v>Display label</x:v>
      </x:c>
    </x:row>
    <x:row r="5" ht="20" customHeight="1">
      <x:c r="A5" s="15" t="str">
        <x:v>5-inch</x:v>
      </x:c>
      <x:c r="B5" s="15" t="str">
        <x:v>5"</x:v>
      </x:c>
      <x:c r="C5" s="15" t="str">
        <x:v>8.9 × 12.7 cm</x:v>
      </x:c>
      <x:c r="D5" s="15" t="str">
        <x:v>5" (8.9 × 12.7 cm)</x:v>
      </x:c>
    </x:row>
    <x:row r="6" ht="20" customHeight="1">
      <x:c r="A6" s="15" t="str">
        <x:v>6-inch</x:v>
      </x:c>
      <x:c r="B6" s="15" t="str">
        <x:v>6"</x:v>
      </x:c>
      <x:c r="C6" s="15" t="str">
        <x:v>10.2 × 15.2 cm</x:v>
      </x:c>
      <x:c r="D6" s="15" t="str">
        <x:v>6" (10.2 × 15.2 cm)</x:v>
      </x:c>
    </x:row>
    <x:row r="7" ht="20" customHeight="1">
      <x:c r="A7" s="15" t="str">
        <x:v>7-inch</x:v>
      </x:c>
      <x:c r="B7" s="15" t="str">
        <x:v>7"</x:v>
      </x:c>
      <x:c r="C7" s="15" t="str">
        <x:v>12.7 × 17.8 cm</x:v>
      </x:c>
      <x:c r="D7" s="15" t="str">
        <x:v>7" (12.7 × 17.8 cm)</x:v>
      </x:c>
    </x:row>
    <x:row r="8" ht="20" customHeight="1">
      <x:c r="A8" s="15" t="str">
        <x:v>8-inch</x:v>
      </x:c>
      <x:c r="B8" s="15" t="str">
        <x:v>8"</x:v>
      </x:c>
      <x:c r="C8" s="15" t="str">
        <x:v>15 × 20 cm</x:v>
      </x:c>
      <x:c r="D8" s="15" t="str">
        <x:v>8" (15 × 20 cm)</x:v>
      </x:c>
    </x:row>
    <x:row r="9" ht="20" customHeight="1">
      <x:c r="A9" s="15" t="str">
        <x:v>10-inch</x:v>
      </x:c>
      <x:c r="B9" s="15" t="str">
        <x:v>10"</x:v>
      </x:c>
      <x:c r="C9" s="15" t="str">
        <x:v>18 × 27 cm / 20 × 25 cm</x:v>
      </x:c>
      <x:c r="D9" s="15" t="str">
        <x:v>10" (18 × 27 cm / 20 × 25 cm)</x:v>
      </x:c>
    </x:row>
    <x:row r="10" ht="20" customHeight="1">
      <x:c r="A10" s="15" t="str">
        <x:v>12-inch</x:v>
      </x:c>
      <x:c r="B10" s="15" t="str">
        <x:v>12"</x:v>
      </x:c>
      <x:c r="C10" s="15" t="str">
        <x:v>20 × 30 cm / 25 × 30 cm</x:v>
      </x:c>
      <x:c r="D10" s="15" t="str">
        <x:v>12" (20 × 30 cm / 25 × 30 cm)</x:v>
      </x:c>
    </x:row>
    <x:row r="11" ht="20" customHeight="1">
      <x:c r="A11" s="15" t="str">
        <x:v>14-inch</x:v>
      </x:c>
      <x:c r="B11" s="15" t="str">
        <x:v>14"</x:v>
      </x:c>
      <x:c r="C11" s="15" t="str">
        <x:v>25 × 35 cm</x:v>
      </x:c>
      <x:c r="D11" s="15" t="str">
        <x:v>14" (25 × 35 cm)</x:v>
      </x:c>
    </x:row>
    <x:row r="12" ht="20" customHeight="1">
      <x:c r="A12" s="15" t="str">
        <x:v>a4</x:v>
      </x:c>
      <x:c r="B12" s="15" t="str">
        <x:v>A4</x:v>
      </x:c>
      <x:c r="C12" s="15" t="str">
        <x:v>21 × 29.7 cm</x:v>
      </x:c>
      <x:c r="D12" s="15" t="str">
        <x:v>A4 (21 × 29.7 cm)</x:v>
      </x:c>
    </x:row>
    <x:row r="13" ht="20" customHeight="1">
      <x:c r="A13" s="15" t="str">
        <x:v>a3</x:v>
      </x:c>
      <x:c r="B13" s="15" t="str">
        <x:v>A3</x:v>
      </x:c>
      <x:c r="C13" s="15" t="str">
        <x:v>29.7 × 42 cm</x:v>
      </x:c>
      <x:c r="D13" s="15" t="str">
        <x:v>A3 (29.7 × 42 cm)</x:v>
      </x:c>
    </x:row>
    <x:row r="14" ht="20" customHeight="1">
      <x:c r="A14" s="15" t="str">
        <x:v>16-inch</x:v>
      </x:c>
      <x:c r="B14" s="15" t="str">
        <x:v>16"</x:v>
      </x:c>
      <x:c r="C14" s="15" t="str">
        <x:v>30 × 40 cm</x:v>
      </x:c>
      <x:c r="D14" s="15" t="str">
        <x:v>16" (30 × 40 cm)</x:v>
      </x:c>
    </x:row>
    <x:row r="15" ht="20" customHeight="1">
      <x:c r="A15" s="15" t="str">
        <x:v>18-inch</x:v>
      </x:c>
      <x:c r="B15" s="15" t="str">
        <x:v>18"</x:v>
      </x:c>
      <x:c r="C15" s="15" t="str">
        <x:v>35 × 45 cm</x:v>
      </x:c>
      <x:c r="D15" s="15" t="str">
        <x:v>18" (35 × 45 cm)</x:v>
      </x:c>
    </x:row>
    <x:row r="16" ht="20" customHeight="1">
      <x:c r="A16" s="15" t="str">
        <x:v>20-inch</x:v>
      </x:c>
      <x:c r="B16" s="15" t="str">
        <x:v>20"</x:v>
      </x:c>
      <x:c r="C16" s="15" t="str">
        <x:v>40 × 50 cm</x:v>
      </x:c>
      <x:c r="D16" s="15" t="str">
        <x:v>20" (40 × 50 cm)</x:v>
      </x:c>
    </x:row>
    <x:row r="17" ht="20" customHeight="1">
      <x:c r="A17" s="15" t="str">
        <x:v>24-small</x:v>
      </x:c>
      <x:c r="B17" s="15" t="str">
        <x:v>24"</x:v>
      </x:c>
      <x:c r="C17" s="15" t="str">
        <x:v>40 × 60 cm</x:v>
      </x:c>
      <x:c r="D17" s="15" t="str">
        <x:v>24" (40 × 60 cm)</x:v>
      </x:c>
    </x:row>
    <x:row r="18" ht="20" customHeight="1">
      <x:c r="A18" s="15" t="str">
        <x:v>24-large</x:v>
      </x:c>
      <x:c r="B18" s="15" t="str">
        <x:v>24"</x:v>
      </x:c>
      <x:c r="C18" s="15" t="str">
        <x:v>50 × 60 cm</x:v>
      </x:c>
      <x:c r="D18" s="15" t="str">
        <x:v>24" (50 × 60 cm)</x:v>
      </x:c>
    </x:row>
    <x:row r="19" ht="20" customHeight="1">
      <x:c r="A19" s="15" t="str">
        <x:v>30-inch</x:v>
      </x:c>
      <x:c r="B19" s="15" t="str">
        <x:v>30"</x:v>
      </x:c>
      <x:c r="C19" s="15" t="str">
        <x:v>60 × 75 cm</x:v>
      </x:c>
      <x:c r="D19" s="15" t="str">
        <x:v>30" (60 × 75 cm)</x:v>
      </x:c>
    </x:row>
    <x:row r="20" ht="20" customHeight="1">
      <x:c r="A20" s="15" t="str">
        <x:v>32-inch</x:v>
      </x:c>
      <x:c r="B20" s="15" t="str">
        <x:v>32"</x:v>
      </x:c>
      <x:c r="C20" s="15" t="str">
        <x:v>60 × 80 cm</x:v>
      </x:c>
      <x:c r="D20" s="15" t="str">
        <x:v>32" (60 × 80 cm)</x:v>
      </x:c>
    </x:row>
    <x:row r="21" ht="20" customHeight="1">
      <x:c r="A21" s="15" t="str">
        <x:v>36-inch</x:v>
      </x:c>
      <x:c r="B21" s="15" t="str">
        <x:v>36"</x:v>
      </x:c>
      <x:c r="C21" s="15" t="str">
        <x:v>60 × 90 cm</x:v>
      </x:c>
      <x:c r="D21" s="15" t="str">
        <x:v>36" (60 × 90 cm)</x:v>
      </x:c>
    </x:row>
    <x:row r="22" ht="20" customHeight="1">
      <x:c r="A22" s="15" t="str">
        <x:v>40-inch</x:v>
      </x:c>
      <x:c r="B22" s="15" t="str">
        <x:v>40"</x:v>
      </x:c>
      <x:c r="C22" s="15" t="str">
        <x:v>75 × 100 cm</x:v>
      </x:c>
      <x:c r="D22" s="15" t="str">
        <x:v>40" (75 × 100 cm)</x:v>
      </x:c>
    </x:row>
    <x:row r="23" ht="20" customHeight="1">
      <x:c r="A23" s="15" t="str">
        <x:v>42-inch</x:v>
      </x:c>
      <x:c r="B23" s="15" t="str">
        <x:v>42"</x:v>
      </x:c>
      <x:c r="C23" s="15" t="str">
        <x:v>75 × 110 cm</x:v>
      </x:c>
      <x:c r="D23" s="15" t="str">
        <x:v>42" (75 × 110 cm)</x:v>
      </x:c>
    </x:row>
    <x:row r="24" ht="20" customHeight="1">
      <x:c r="A24" s="15" t="str">
        <x:v>48-inch</x:v>
      </x:c>
      <x:c r="B24" s="15" t="str">
        <x:v>48"</x:v>
      </x:c>
      <x:c r="C24" s="15" t="str">
        <x:v>75 × 120 cm</x:v>
      </x:c>
      <x:c r="D24" s="15" t="str">
        <x:v>48" (75 × 120 cm)</x:v>
      </x:c>
    </x:row>
  </x:sheetData>
  <x:mergeCells>
    <x:mergeCell ref="A1:D1"/>
    <x:mergeCell ref="A2:D2"/>
  </x:mergeCells>
  <x:pageMargins left="0.7" right="0.7" top="0.75" bottom="0.75" header="0.3" footer="0.3"/>
</x:worksheet>
</file>